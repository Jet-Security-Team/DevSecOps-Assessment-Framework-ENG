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ЭтаКнига"/>
  <xr:revisionPtr revIDLastSave="0" documentId="13_ncr:1_{6EA8F660-4149-4D97-8B75-699F7EA700C0}" xr6:coauthVersionLast="47" xr6:coauthVersionMax="47" xr10:uidLastSave="{00000000-0000-0000-0000-000000000000}"/>
  <bookViews>
    <workbookView xWindow="-120" yWindow="-120" windowWidth="38640" windowHeight="21120" tabRatio="950" activeTab="2" xr2:uid="{00000000-000D-0000-FFFF-FFFF00000000}"/>
  </bookViews>
  <sheets>
    <sheet name="DAF general overview (DAF map)" sheetId="49" r:id="rId1"/>
    <sheet name="Assesment outcomes" sheetId="4" r:id="rId2"/>
    <sheet name="Practices and Requirements" sheetId="21" r:id="rId3"/>
    <sheet name="DAF maturity pyramid" sheetId="19" r:id="rId4"/>
    <sheet name="SAMM_mapping" sheetId="43" r:id="rId5"/>
    <sheet name="DSOMM_mapping" sheetId="47" r:id="rId6"/>
    <sheet name="BSIMM14_mapping" sheetId="50" r:id="rId7"/>
  </sheets>
  <definedNames>
    <definedName name="_xlnm._FilterDatabase" localSheetId="6" hidden="1">BSIMM14_mapping!$B$1:$F$1</definedName>
    <definedName name="_xlnm._FilterDatabase" localSheetId="5" hidden="1">DSOMM_mapping!$B$1:$I$1</definedName>
    <definedName name="_xlnm._FilterDatabase" localSheetId="2" hidden="1">'Practices and Requirements'!$B$2:$M$2</definedName>
    <definedName name="_xlnm._FilterDatabase" localSheetId="4" hidden="1">SAMM_mapping!$B$1:$H$178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1" l="1"/>
  <c r="G395" i="21" l="1"/>
  <c r="G383" i="21"/>
  <c r="G374" i="21"/>
  <c r="G369" i="21"/>
  <c r="G359" i="21"/>
  <c r="G351" i="21"/>
  <c r="G340" i="21"/>
  <c r="G333" i="21"/>
  <c r="G328" i="21"/>
  <c r="G318" i="21"/>
  <c r="G307" i="21"/>
  <c r="G296" i="21"/>
  <c r="G286" i="21"/>
  <c r="G281" i="21"/>
  <c r="G269" i="21"/>
  <c r="G265" i="21"/>
  <c r="G259" i="21"/>
  <c r="G249" i="21"/>
  <c r="G234" i="21"/>
  <c r="G226" i="21"/>
  <c r="G215" i="21"/>
  <c r="G210" i="21"/>
  <c r="G198" i="21"/>
  <c r="G193" i="21"/>
  <c r="G187" i="21"/>
  <c r="G173" i="21"/>
  <c r="G167" i="21"/>
  <c r="G155" i="21"/>
  <c r="G145" i="21"/>
  <c r="G131" i="21"/>
  <c r="G120" i="21"/>
  <c r="G107" i="21"/>
  <c r="G95" i="21"/>
  <c r="G76" i="21"/>
  <c r="G55" i="21"/>
  <c r="G45" i="21"/>
  <c r="G37" i="21"/>
  <c r="G33" i="21"/>
  <c r="G17" i="21"/>
  <c r="G4" i="21"/>
  <c r="F191" i="50"/>
  <c r="F190" i="50"/>
  <c r="F189" i="50"/>
  <c r="F188" i="50"/>
  <c r="F186" i="50"/>
  <c r="F184" i="50"/>
  <c r="F183" i="50"/>
  <c r="F181" i="50"/>
  <c r="F179" i="50"/>
  <c r="F178" i="50"/>
  <c r="F177" i="50"/>
  <c r="F176" i="50"/>
  <c r="F175" i="50"/>
  <c r="F172" i="50"/>
  <c r="F171" i="50"/>
  <c r="F170" i="50"/>
  <c r="F169" i="50"/>
  <c r="F165" i="50"/>
  <c r="F164" i="50"/>
  <c r="F163" i="50"/>
  <c r="F162" i="50"/>
  <c r="F161" i="50"/>
  <c r="F160" i="50"/>
  <c r="F159" i="50"/>
  <c r="F158" i="50"/>
  <c r="F154" i="50"/>
  <c r="F152" i="50"/>
  <c r="F151" i="50"/>
  <c r="F149" i="50"/>
  <c r="F148" i="50"/>
  <c r="F145" i="50"/>
  <c r="F141" i="50"/>
  <c r="F140" i="50"/>
  <c r="F139" i="50"/>
  <c r="F138" i="50"/>
  <c r="F136" i="50"/>
  <c r="F135" i="50"/>
  <c r="F134" i="50"/>
  <c r="F133" i="50"/>
  <c r="F128" i="50"/>
  <c r="F127" i="50"/>
  <c r="F126" i="50"/>
  <c r="F125" i="50"/>
  <c r="F124" i="50"/>
  <c r="F122" i="50"/>
  <c r="F121" i="50"/>
  <c r="F120" i="50"/>
  <c r="F119" i="50"/>
  <c r="F118" i="50"/>
  <c r="F117" i="50"/>
  <c r="F116" i="50"/>
  <c r="F115" i="50"/>
  <c r="F109" i="50"/>
  <c r="F108" i="50"/>
  <c r="F107" i="50"/>
  <c r="F106" i="50"/>
  <c r="F105" i="50"/>
  <c r="F103" i="50"/>
  <c r="F100" i="50"/>
  <c r="F99" i="50"/>
  <c r="F98" i="50"/>
  <c r="F96" i="50"/>
  <c r="F95" i="50"/>
  <c r="F94" i="50"/>
  <c r="F92" i="50"/>
  <c r="F90" i="50"/>
  <c r="F89" i="50"/>
  <c r="F88" i="50"/>
  <c r="F87" i="50"/>
  <c r="F86" i="50"/>
  <c r="F85" i="50"/>
  <c r="F84" i="50"/>
  <c r="F83" i="50"/>
  <c r="F82" i="50"/>
  <c r="F75" i="50"/>
  <c r="F69" i="50"/>
  <c r="F68" i="50"/>
  <c r="F64" i="50"/>
  <c r="F62" i="50"/>
  <c r="F56" i="50"/>
  <c r="F55" i="50"/>
  <c r="F52" i="50"/>
  <c r="F51" i="50"/>
  <c r="F49" i="50"/>
  <c r="F48" i="50"/>
  <c r="F46" i="50"/>
  <c r="F44" i="50"/>
  <c r="F39" i="50"/>
  <c r="F38" i="50"/>
  <c r="F37" i="50"/>
  <c r="F30" i="50"/>
  <c r="F29" i="50"/>
  <c r="F28" i="50"/>
  <c r="F27" i="50"/>
  <c r="F26" i="50"/>
  <c r="F25" i="50"/>
  <c r="F24" i="50"/>
  <c r="F23" i="50"/>
  <c r="F22" i="50"/>
  <c r="F20" i="50"/>
  <c r="F19" i="50"/>
  <c r="F18" i="50"/>
  <c r="F17" i="50"/>
  <c r="F16" i="50"/>
  <c r="F13" i="50"/>
  <c r="F12" i="50"/>
  <c r="F11" i="50"/>
  <c r="F10" i="50"/>
  <c r="F9" i="50"/>
  <c r="F8" i="50"/>
  <c r="F7" i="50"/>
  <c r="F6" i="50"/>
  <c r="F4" i="50"/>
  <c r="E191" i="50"/>
  <c r="E190" i="50"/>
  <c r="E189" i="50"/>
  <c r="E188" i="50"/>
  <c r="E186" i="50"/>
  <c r="E184" i="50"/>
  <c r="E183" i="50"/>
  <c r="E181" i="50"/>
  <c r="E179" i="50"/>
  <c r="E178" i="50"/>
  <c r="E177" i="50"/>
  <c r="E176" i="50"/>
  <c r="E175" i="50"/>
  <c r="E172" i="50"/>
  <c r="E171" i="50"/>
  <c r="E170" i="50"/>
  <c r="E169" i="50"/>
  <c r="E165" i="50"/>
  <c r="E164" i="50"/>
  <c r="E163" i="50"/>
  <c r="E162" i="50"/>
  <c r="E161" i="50"/>
  <c r="E160" i="50"/>
  <c r="E159" i="50"/>
  <c r="E158" i="50"/>
  <c r="E154" i="50"/>
  <c r="E152" i="50"/>
  <c r="E151" i="50"/>
  <c r="E149" i="50"/>
  <c r="E148" i="50"/>
  <c r="E145" i="50"/>
  <c r="E141" i="50"/>
  <c r="E140" i="50"/>
  <c r="E139" i="50"/>
  <c r="E138" i="50"/>
  <c r="E136" i="50"/>
  <c r="E135" i="50"/>
  <c r="E134" i="50"/>
  <c r="E133" i="50"/>
  <c r="E128" i="50"/>
  <c r="E127" i="50"/>
  <c r="E126" i="50"/>
  <c r="E125" i="50"/>
  <c r="E124" i="50"/>
  <c r="E122" i="50"/>
  <c r="E121" i="50"/>
  <c r="E120" i="50"/>
  <c r="E119" i="50"/>
  <c r="E118" i="50"/>
  <c r="E117" i="50"/>
  <c r="E116" i="50"/>
  <c r="E115" i="50"/>
  <c r="E109" i="50"/>
  <c r="E108" i="50"/>
  <c r="E107" i="50"/>
  <c r="E106" i="50"/>
  <c r="E105" i="50"/>
  <c r="E103" i="50"/>
  <c r="E100" i="50"/>
  <c r="E99" i="50"/>
  <c r="E98" i="50"/>
  <c r="E96" i="50"/>
  <c r="E95" i="50"/>
  <c r="E94" i="50"/>
  <c r="E92" i="50"/>
  <c r="E90" i="50"/>
  <c r="E89" i="50"/>
  <c r="E88" i="50"/>
  <c r="E87" i="50"/>
  <c r="E86" i="50"/>
  <c r="E85" i="50"/>
  <c r="E84" i="50"/>
  <c r="E83" i="50"/>
  <c r="E82" i="50"/>
  <c r="E75" i="50"/>
  <c r="E69" i="50"/>
  <c r="E68" i="50"/>
  <c r="E64" i="50"/>
  <c r="E62" i="50"/>
  <c r="E56" i="50"/>
  <c r="E55" i="50"/>
  <c r="E52" i="50"/>
  <c r="E51" i="50"/>
  <c r="E49" i="50"/>
  <c r="E48" i="50"/>
  <c r="E46" i="50"/>
  <c r="E44" i="50"/>
  <c r="E39" i="50"/>
  <c r="E38" i="50"/>
  <c r="E37" i="50"/>
  <c r="E30" i="50"/>
  <c r="E29" i="50"/>
  <c r="E28" i="50"/>
  <c r="E27" i="50"/>
  <c r="E26" i="50"/>
  <c r="E25" i="50"/>
  <c r="E24" i="50"/>
  <c r="E23" i="50"/>
  <c r="E22" i="50"/>
  <c r="E20" i="50"/>
  <c r="E19" i="50"/>
  <c r="E18" i="50"/>
  <c r="E17" i="50"/>
  <c r="E16" i="50"/>
  <c r="E13" i="50"/>
  <c r="E12" i="50"/>
  <c r="E11" i="50"/>
  <c r="E10" i="50"/>
  <c r="E9" i="50"/>
  <c r="E8" i="50"/>
  <c r="E7" i="50"/>
  <c r="E6" i="50"/>
  <c r="E4" i="50"/>
  <c r="D191" i="50"/>
  <c r="D190" i="50"/>
  <c r="D189" i="50"/>
  <c r="D188" i="50"/>
  <c r="D186" i="50"/>
  <c r="D184" i="50"/>
  <c r="D183" i="50"/>
  <c r="D181" i="50"/>
  <c r="D179" i="50"/>
  <c r="D178" i="50"/>
  <c r="D177" i="50"/>
  <c r="D176" i="50"/>
  <c r="D175" i="50"/>
  <c r="D172" i="50"/>
  <c r="D171" i="50"/>
  <c r="D170" i="50"/>
  <c r="D169" i="50"/>
  <c r="D165" i="50"/>
  <c r="D164" i="50"/>
  <c r="D163" i="50"/>
  <c r="D162" i="50"/>
  <c r="D161" i="50"/>
  <c r="D160" i="50"/>
  <c r="D159" i="50"/>
  <c r="D158" i="50"/>
  <c r="D154" i="50"/>
  <c r="D152" i="50"/>
  <c r="D151" i="50"/>
  <c r="D149" i="50"/>
  <c r="D148" i="50"/>
  <c r="D145" i="50"/>
  <c r="D141" i="50"/>
  <c r="D140" i="50"/>
  <c r="D139" i="50"/>
  <c r="D138" i="50"/>
  <c r="D136" i="50"/>
  <c r="D135" i="50"/>
  <c r="D134" i="50"/>
  <c r="D133" i="50"/>
  <c r="D128" i="50"/>
  <c r="D127" i="50"/>
  <c r="D126" i="50"/>
  <c r="D125" i="50"/>
  <c r="D124" i="50"/>
  <c r="D122" i="50"/>
  <c r="D121" i="50"/>
  <c r="D120" i="50"/>
  <c r="D119" i="50"/>
  <c r="D118" i="50"/>
  <c r="D117" i="50"/>
  <c r="D116" i="50"/>
  <c r="D115" i="50"/>
  <c r="D109" i="50"/>
  <c r="D108" i="50"/>
  <c r="D107" i="50"/>
  <c r="D106" i="50"/>
  <c r="D105" i="50"/>
  <c r="D103" i="50"/>
  <c r="D100" i="50"/>
  <c r="D99" i="50"/>
  <c r="D98" i="50"/>
  <c r="D96" i="50"/>
  <c r="D95" i="50"/>
  <c r="D94" i="50"/>
  <c r="D92" i="50"/>
  <c r="D90" i="50"/>
  <c r="D89" i="50"/>
  <c r="D88" i="50"/>
  <c r="D87" i="50"/>
  <c r="D86" i="50"/>
  <c r="D85" i="50"/>
  <c r="D84" i="50"/>
  <c r="D83" i="50"/>
  <c r="D82" i="50"/>
  <c r="D75" i="50"/>
  <c r="D69" i="50"/>
  <c r="D68" i="50"/>
  <c r="D64" i="50"/>
  <c r="D62" i="50"/>
  <c r="D56" i="50"/>
  <c r="D55" i="50"/>
  <c r="D52" i="50"/>
  <c r="D51" i="50"/>
  <c r="D49" i="50"/>
  <c r="D48" i="50"/>
  <c r="D46" i="50"/>
  <c r="D44" i="50"/>
  <c r="D39" i="50"/>
  <c r="D38" i="50"/>
  <c r="D37" i="50"/>
  <c r="D30" i="50"/>
  <c r="D29" i="50"/>
  <c r="D28" i="50"/>
  <c r="D27" i="50"/>
  <c r="D26" i="50"/>
  <c r="D25" i="50"/>
  <c r="D24" i="50"/>
  <c r="D23" i="50"/>
  <c r="D22" i="50"/>
  <c r="D20" i="50"/>
  <c r="D19" i="50"/>
  <c r="D18" i="50"/>
  <c r="D17" i="50"/>
  <c r="D16" i="50"/>
  <c r="D13" i="50"/>
  <c r="D12" i="50"/>
  <c r="D11" i="50"/>
  <c r="D10" i="50"/>
  <c r="D9" i="50"/>
  <c r="D8" i="50"/>
  <c r="D7" i="50"/>
  <c r="D6" i="50"/>
  <c r="D4" i="50"/>
  <c r="H17" i="4" l="1"/>
  <c r="H16" i="4"/>
  <c r="H15" i="4"/>
  <c r="H14" i="4"/>
  <c r="H13" i="4"/>
  <c r="H12" i="4"/>
  <c r="H11" i="4"/>
  <c r="H10" i="4"/>
  <c r="H9" i="4"/>
  <c r="H8" i="4"/>
  <c r="H7" i="4"/>
  <c r="H6" i="4"/>
  <c r="H5" i="4"/>
  <c r="H4" i="4"/>
  <c r="H3" i="4"/>
  <c r="H42" i="4"/>
  <c r="H41" i="4"/>
  <c r="H40" i="4"/>
  <c r="H39" i="4"/>
  <c r="H38" i="4"/>
  <c r="H37" i="4"/>
  <c r="H36" i="4"/>
  <c r="H35" i="4"/>
  <c r="H34" i="4"/>
  <c r="H33" i="4"/>
  <c r="H32" i="4"/>
  <c r="H31" i="4"/>
  <c r="H30" i="4"/>
  <c r="H29" i="4"/>
  <c r="H28" i="4"/>
  <c r="H27" i="4"/>
  <c r="H26" i="4"/>
  <c r="H25" i="4"/>
  <c r="H24" i="4"/>
  <c r="H23" i="4"/>
  <c r="H22" i="4"/>
  <c r="H21" i="4"/>
  <c r="H20" i="4"/>
  <c r="H19" i="4"/>
  <c r="H18" i="4"/>
  <c r="K2" i="50"/>
  <c r="J2" i="50"/>
  <c r="L2" i="50" s="1"/>
  <c r="I257" i="47" l="1"/>
  <c r="I256" i="47"/>
  <c r="I253" i="47"/>
  <c r="I250" i="47"/>
  <c r="I248" i="47"/>
  <c r="I247" i="47"/>
  <c r="I246" i="47"/>
  <c r="I245" i="47"/>
  <c r="I244" i="47"/>
  <c r="I243" i="47"/>
  <c r="I242" i="47"/>
  <c r="I241" i="47"/>
  <c r="I240" i="47"/>
  <c r="I238" i="47"/>
  <c r="I237" i="47"/>
  <c r="I236" i="47"/>
  <c r="I235" i="47"/>
  <c r="I229" i="47"/>
  <c r="I228" i="47"/>
  <c r="I223" i="47"/>
  <c r="I222" i="47"/>
  <c r="I221" i="47"/>
  <c r="I219" i="47"/>
  <c r="I218" i="47"/>
  <c r="I216" i="47"/>
  <c r="I215" i="47"/>
  <c r="I214" i="47"/>
  <c r="I213" i="47"/>
  <c r="I212" i="47"/>
  <c r="I211" i="47"/>
  <c r="I210" i="47"/>
  <c r="I209" i="47"/>
  <c r="I208" i="47"/>
  <c r="I207" i="47"/>
  <c r="I201" i="47"/>
  <c r="I200" i="47"/>
  <c r="I198" i="47"/>
  <c r="I197" i="47"/>
  <c r="I196" i="47"/>
  <c r="I193" i="47"/>
  <c r="I192" i="47"/>
  <c r="I191" i="47"/>
  <c r="I190" i="47"/>
  <c r="I189" i="47"/>
  <c r="I188" i="47"/>
  <c r="I187" i="47"/>
  <c r="I186" i="47"/>
  <c r="I184" i="47"/>
  <c r="I183" i="47"/>
  <c r="I182" i="47"/>
  <c r="I178" i="47"/>
  <c r="I175" i="47"/>
  <c r="I174" i="47"/>
  <c r="I173" i="47"/>
  <c r="I172" i="47"/>
  <c r="I171" i="47"/>
  <c r="I170" i="47"/>
  <c r="I169" i="47"/>
  <c r="I168" i="47"/>
  <c r="I167" i="47"/>
  <c r="I166" i="47"/>
  <c r="I165" i="47"/>
  <c r="I164" i="47"/>
  <c r="I163" i="47"/>
  <c r="I162" i="47"/>
  <c r="I148" i="47"/>
  <c r="I147" i="47"/>
  <c r="I146" i="47"/>
  <c r="I145" i="47"/>
  <c r="I143" i="47"/>
  <c r="I142" i="47"/>
  <c r="I141" i="47"/>
  <c r="I136" i="47"/>
  <c r="I135" i="47"/>
  <c r="I134" i="47"/>
  <c r="I124" i="47"/>
  <c r="I119" i="47"/>
  <c r="I118" i="47"/>
  <c r="I115" i="47"/>
  <c r="I114" i="47"/>
  <c r="I113" i="47"/>
  <c r="I112" i="47"/>
  <c r="I108" i="47"/>
  <c r="I97" i="47"/>
  <c r="I96" i="47"/>
  <c r="I93" i="47"/>
  <c r="I91" i="47"/>
  <c r="I88" i="47"/>
  <c r="I87" i="47"/>
  <c r="I86" i="47"/>
  <c r="I85" i="47"/>
  <c r="I84" i="47"/>
  <c r="I83" i="47"/>
  <c r="I82" i="47"/>
  <c r="I81" i="47"/>
  <c r="I80" i="47"/>
  <c r="I79" i="47"/>
  <c r="I78" i="47"/>
  <c r="I77" i="47"/>
  <c r="I76" i="47"/>
  <c r="I75" i="47"/>
  <c r="I74" i="47"/>
  <c r="I73" i="47"/>
  <c r="I72" i="47"/>
  <c r="I69" i="47"/>
  <c r="I67" i="47"/>
  <c r="I66" i="47"/>
  <c r="I65" i="47"/>
  <c r="I64" i="47"/>
  <c r="I58" i="47"/>
  <c r="I56" i="47"/>
  <c r="I55" i="47"/>
  <c r="I54" i="47"/>
  <c r="I53" i="47"/>
  <c r="I49" i="47"/>
  <c r="I48" i="47"/>
  <c r="I45" i="47"/>
  <c r="I42" i="47"/>
  <c r="I41" i="47"/>
  <c r="I40" i="47"/>
  <c r="I39" i="47"/>
  <c r="I38" i="47"/>
  <c r="I21" i="47"/>
  <c r="I20" i="47"/>
  <c r="I19" i="47"/>
  <c r="I18" i="47"/>
  <c r="I16" i="47"/>
  <c r="I15" i="47"/>
  <c r="I14" i="47"/>
  <c r="I13" i="47"/>
  <c r="I12" i="47"/>
  <c r="I11" i="47"/>
  <c r="I7" i="47"/>
  <c r="I6" i="47"/>
  <c r="I5" i="47"/>
  <c r="I4" i="47"/>
  <c r="H178" i="43"/>
  <c r="H177" i="43"/>
  <c r="H176" i="43"/>
  <c r="H175" i="43"/>
  <c r="H174" i="43"/>
  <c r="H173" i="43"/>
  <c r="H172" i="43"/>
  <c r="H167" i="43"/>
  <c r="H166" i="43"/>
  <c r="H165" i="43"/>
  <c r="H164" i="43"/>
  <c r="H162" i="43"/>
  <c r="H161" i="43"/>
  <c r="H160" i="43"/>
  <c r="H159" i="43"/>
  <c r="H158" i="43"/>
  <c r="H157" i="43"/>
  <c r="H156" i="43"/>
  <c r="H153" i="43"/>
  <c r="H150" i="43"/>
  <c r="H149" i="43"/>
  <c r="H144" i="43"/>
  <c r="H143" i="43"/>
  <c r="H142" i="43"/>
  <c r="H141" i="43"/>
  <c r="H140" i="43"/>
  <c r="H139" i="43"/>
  <c r="H138" i="43"/>
  <c r="H137" i="43"/>
  <c r="H136" i="43"/>
  <c r="H135" i="43"/>
  <c r="H134" i="43"/>
  <c r="H133" i="43"/>
  <c r="H132" i="43"/>
  <c r="H131" i="43"/>
  <c r="H130" i="43"/>
  <c r="H129" i="43"/>
  <c r="H128" i="43"/>
  <c r="H127" i="43"/>
  <c r="H126" i="43"/>
  <c r="H125" i="43"/>
  <c r="H124" i="43"/>
  <c r="H123" i="43"/>
  <c r="H120" i="43"/>
  <c r="H119" i="43"/>
  <c r="H118" i="43"/>
  <c r="H116" i="43"/>
  <c r="H115" i="43"/>
  <c r="H113" i="43"/>
  <c r="H112" i="43"/>
  <c r="H105" i="43"/>
  <c r="H99" i="43"/>
  <c r="H98" i="43"/>
  <c r="H97" i="43"/>
  <c r="H96" i="43"/>
  <c r="H95" i="43"/>
  <c r="H94" i="43"/>
  <c r="H93" i="43"/>
  <c r="H90" i="43"/>
  <c r="H89" i="43"/>
  <c r="H88" i="43"/>
  <c r="H87" i="43"/>
  <c r="H86" i="43"/>
  <c r="H85" i="43"/>
  <c r="H84" i="43"/>
  <c r="H83" i="43"/>
  <c r="H81" i="43"/>
  <c r="H80" i="43"/>
  <c r="H77" i="43"/>
  <c r="H76" i="43"/>
  <c r="H75" i="43"/>
  <c r="H74" i="43"/>
  <c r="H73" i="43"/>
  <c r="H72" i="43"/>
  <c r="H71" i="43"/>
  <c r="H70" i="43"/>
  <c r="H69" i="43"/>
  <c r="H68" i="43"/>
  <c r="H67" i="43"/>
  <c r="H66" i="43"/>
  <c r="H65" i="43"/>
  <c r="H64" i="43"/>
  <c r="H63" i="43"/>
  <c r="H62" i="43"/>
  <c r="H61" i="43"/>
  <c r="H57" i="43"/>
  <c r="H56" i="43"/>
  <c r="H55" i="43"/>
  <c r="H53" i="43"/>
  <c r="H47" i="43"/>
  <c r="H46" i="43"/>
  <c r="H45" i="43"/>
  <c r="H44" i="43"/>
  <c r="H43" i="43"/>
  <c r="H41" i="43"/>
  <c r="H40" i="43"/>
  <c r="H39" i="43"/>
  <c r="H38" i="43"/>
  <c r="H36" i="43"/>
  <c r="H35" i="43"/>
  <c r="H34" i="43"/>
  <c r="H31" i="43"/>
  <c r="H30" i="43"/>
  <c r="H29" i="43"/>
  <c r="H28" i="43"/>
  <c r="H27" i="43"/>
  <c r="H26" i="43"/>
  <c r="H25" i="43"/>
  <c r="H24" i="43"/>
  <c r="H23" i="43"/>
  <c r="H22" i="43"/>
  <c r="H21" i="43"/>
  <c r="H20" i="43"/>
  <c r="H19" i="43"/>
  <c r="H14" i="43"/>
  <c r="H13" i="43"/>
  <c r="H12" i="43"/>
  <c r="H10" i="43"/>
  <c r="H9" i="43"/>
  <c r="H8" i="43"/>
  <c r="H7" i="43"/>
  <c r="H6" i="43"/>
  <c r="H5" i="43"/>
  <c r="H4" i="43"/>
  <c r="G5" i="21"/>
  <c r="G10" i="21"/>
  <c r="J3" i="4" s="1"/>
  <c r="G12" i="21"/>
  <c r="K3" i="4" s="1"/>
  <c r="G15" i="21"/>
  <c r="L3" i="4" s="1"/>
  <c r="B17" i="21"/>
  <c r="G18" i="21"/>
  <c r="I4" i="4" s="1"/>
  <c r="G23" i="21"/>
  <c r="J4" i="4" s="1"/>
  <c r="G25" i="21"/>
  <c r="K4" i="4" s="1"/>
  <c r="G27" i="21"/>
  <c r="L4" i="4" s="1"/>
  <c r="B33" i="21"/>
  <c r="G34" i="21"/>
  <c r="I5" i="4" s="1"/>
  <c r="G36" i="21"/>
  <c r="J5" i="4" s="1"/>
  <c r="B37" i="21"/>
  <c r="G38" i="21"/>
  <c r="I6" i="4" s="1"/>
  <c r="G40" i="21"/>
  <c r="J6" i="4" s="1"/>
  <c r="G42" i="21"/>
  <c r="K6" i="4" s="1"/>
  <c r="G44" i="21"/>
  <c r="L6" i="4" s="1"/>
  <c r="B45" i="21"/>
  <c r="G46" i="21"/>
  <c r="I7" i="4" s="1"/>
  <c r="G50" i="21"/>
  <c r="J7" i="4" s="1"/>
  <c r="G51" i="21"/>
  <c r="K7" i="4" s="1"/>
  <c r="G54" i="21"/>
  <c r="L7" i="4" s="1"/>
  <c r="B55" i="21"/>
  <c r="G56" i="21"/>
  <c r="I8" i="4" s="1"/>
  <c r="G63" i="21"/>
  <c r="J8" i="4" s="1"/>
  <c r="G69" i="21"/>
  <c r="K8" i="4" s="1"/>
  <c r="G73" i="21"/>
  <c r="L8" i="4" s="1"/>
  <c r="B76" i="21"/>
  <c r="G77" i="21"/>
  <c r="I9" i="4" s="1"/>
  <c r="G82" i="21"/>
  <c r="J9" i="4" s="1"/>
  <c r="G88" i="21"/>
  <c r="K9" i="4" s="1"/>
  <c r="G94" i="21"/>
  <c r="L9" i="4" s="1"/>
  <c r="B95" i="21"/>
  <c r="G96" i="21"/>
  <c r="I10" i="4" s="1"/>
  <c r="G101" i="21"/>
  <c r="J10" i="4" s="1"/>
  <c r="G103" i="21"/>
  <c r="K10" i="4" s="1"/>
  <c r="G104" i="21"/>
  <c r="L10" i="4" s="1"/>
  <c r="B107" i="21"/>
  <c r="G108" i="21"/>
  <c r="I11" i="4" s="1"/>
  <c r="G110" i="21"/>
  <c r="J11" i="4" s="1"/>
  <c r="G114" i="21"/>
  <c r="K11" i="4" s="1"/>
  <c r="G119" i="21"/>
  <c r="L11" i="4" s="1"/>
  <c r="B120" i="21"/>
  <c r="G121" i="21"/>
  <c r="I12" i="4" s="1"/>
  <c r="G123" i="21"/>
  <c r="J12" i="4" s="1"/>
  <c r="G127" i="21"/>
  <c r="K12" i="4" s="1"/>
  <c r="G130" i="21"/>
  <c r="L12" i="4" s="1"/>
  <c r="B131" i="21"/>
  <c r="G132" i="21"/>
  <c r="I13" i="4" s="1"/>
  <c r="G135" i="21"/>
  <c r="J13" i="4" s="1"/>
  <c r="G140" i="21"/>
  <c r="K13" i="4" s="1"/>
  <c r="G144" i="21"/>
  <c r="L13" i="4" s="1"/>
  <c r="B145" i="21"/>
  <c r="G146" i="21"/>
  <c r="I14" i="4" s="1"/>
  <c r="G149" i="21"/>
  <c r="J14" i="4" s="1"/>
  <c r="G152" i="21"/>
  <c r="K14" i="4" s="1"/>
  <c r="G153" i="21"/>
  <c r="L14" i="4" s="1"/>
  <c r="B155" i="21"/>
  <c r="G156" i="21"/>
  <c r="I15" i="4" s="1"/>
  <c r="G160" i="21"/>
  <c r="J15" i="4" s="1"/>
  <c r="G163" i="21"/>
  <c r="K15" i="4" s="1"/>
  <c r="G166" i="21"/>
  <c r="L15" i="4" s="1"/>
  <c r="B167" i="21"/>
  <c r="G168" i="21"/>
  <c r="I16" i="4" s="1"/>
  <c r="G170" i="21"/>
  <c r="J16" i="4" s="1"/>
  <c r="B173" i="21"/>
  <c r="G174" i="21"/>
  <c r="I17" i="4" s="1"/>
  <c r="G176" i="21"/>
  <c r="J17" i="4" s="1"/>
  <c r="G180" i="21"/>
  <c r="K17" i="4" s="1"/>
  <c r="G184" i="21"/>
  <c r="L17" i="4" s="1"/>
  <c r="B187" i="21"/>
  <c r="G188" i="21"/>
  <c r="I18" i="4" s="1"/>
  <c r="G191" i="21"/>
  <c r="J18" i="4" s="1"/>
  <c r="G192" i="21"/>
  <c r="L18" i="4" s="1"/>
  <c r="B193" i="21"/>
  <c r="G194" i="21"/>
  <c r="I19" i="4" s="1"/>
  <c r="G195" i="21"/>
  <c r="J19" i="4" s="1"/>
  <c r="G197" i="21"/>
  <c r="K19" i="4" s="1"/>
  <c r="B198" i="21"/>
  <c r="G199" i="21"/>
  <c r="I21" i="4" s="1"/>
  <c r="G201" i="21"/>
  <c r="J21" i="4" s="1"/>
  <c r="G204" i="21"/>
  <c r="K21" i="4" s="1"/>
  <c r="G208" i="21"/>
  <c r="B210" i="21"/>
  <c r="G211" i="21"/>
  <c r="I20" i="4" s="1"/>
  <c r="G212" i="21"/>
  <c r="J20" i="4" s="1"/>
  <c r="B215" i="21"/>
  <c r="G216" i="21"/>
  <c r="I22" i="4" s="1"/>
  <c r="G218" i="21"/>
  <c r="J22" i="4" s="1"/>
  <c r="G220" i="21"/>
  <c r="K22" i="4" s="1"/>
  <c r="G223" i="21"/>
  <c r="L22" i="4" s="1"/>
  <c r="B226" i="21"/>
  <c r="G227" i="21"/>
  <c r="I24" i="4" s="1"/>
  <c r="G230" i="21"/>
  <c r="J24" i="4" s="1"/>
  <c r="G231" i="21"/>
  <c r="K24" i="4" s="1"/>
  <c r="G232" i="21"/>
  <c r="L24" i="4" s="1"/>
  <c r="B234" i="21"/>
  <c r="G235" i="21"/>
  <c r="I23" i="4" s="1"/>
  <c r="G238" i="21"/>
  <c r="J23" i="4" s="1"/>
  <c r="G242" i="21"/>
  <c r="K23" i="4" s="1"/>
  <c r="G246" i="21"/>
  <c r="L23" i="4" s="1"/>
  <c r="B249" i="21"/>
  <c r="G250" i="21"/>
  <c r="I25" i="4" s="1"/>
  <c r="G255" i="21"/>
  <c r="J25" i="4" s="1"/>
  <c r="G257" i="21"/>
  <c r="K25" i="4" s="1"/>
  <c r="G258" i="21"/>
  <c r="L25" i="4" s="1"/>
  <c r="B259" i="21"/>
  <c r="G260" i="21"/>
  <c r="I26" i="4" s="1"/>
  <c r="G262" i="21"/>
  <c r="J26" i="4" s="1"/>
  <c r="G264" i="21"/>
  <c r="K26" i="4" s="1"/>
  <c r="B265" i="21"/>
  <c r="G266" i="21"/>
  <c r="I27" i="4" s="1"/>
  <c r="G267" i="21"/>
  <c r="J27" i="4" s="1"/>
  <c r="G268" i="21"/>
  <c r="K27" i="4" s="1"/>
  <c r="B269" i="21"/>
  <c r="G270" i="21"/>
  <c r="I28" i="4" s="1"/>
  <c r="G272" i="21"/>
  <c r="J28" i="4" s="1"/>
  <c r="G275" i="21"/>
  <c r="K28" i="4" s="1"/>
  <c r="G279" i="21"/>
  <c r="L28" i="4" s="1"/>
  <c r="B281" i="21"/>
  <c r="G282" i="21"/>
  <c r="J29" i="4" s="1"/>
  <c r="G283" i="21"/>
  <c r="K29" i="4" s="1"/>
  <c r="B286" i="21"/>
  <c r="G287" i="21"/>
  <c r="I30" i="4" s="1"/>
  <c r="G289" i="21"/>
  <c r="J30" i="4" s="1"/>
  <c r="G293" i="21"/>
  <c r="K30" i="4" s="1"/>
  <c r="G295" i="21"/>
  <c r="L30" i="4" s="1"/>
  <c r="B296" i="21"/>
  <c r="G297" i="21"/>
  <c r="I31" i="4" s="1"/>
  <c r="G298" i="21"/>
  <c r="J31" i="4" s="1"/>
  <c r="G300" i="21"/>
  <c r="K31" i="4" s="1"/>
  <c r="G303" i="21"/>
  <c r="L31" i="4" s="1"/>
  <c r="B307" i="21"/>
  <c r="G308" i="21"/>
  <c r="I32" i="4" s="1"/>
  <c r="G311" i="21"/>
  <c r="J32" i="4" s="1"/>
  <c r="G314" i="21"/>
  <c r="K32" i="4" s="1"/>
  <c r="G317" i="21"/>
  <c r="L32" i="4" s="1"/>
  <c r="B318" i="21"/>
  <c r="G319" i="21"/>
  <c r="I33" i="4" s="1"/>
  <c r="G321" i="21"/>
  <c r="J33" i="4" s="1"/>
  <c r="G324" i="21"/>
  <c r="K33" i="4" s="1"/>
  <c r="G327" i="21"/>
  <c r="L33" i="4" s="1"/>
  <c r="B328" i="21"/>
  <c r="G329" i="21"/>
  <c r="I34" i="4" s="1"/>
  <c r="G330" i="21"/>
  <c r="J34" i="4" s="1"/>
  <c r="G331" i="21"/>
  <c r="K34" i="4" s="1"/>
  <c r="G332" i="21"/>
  <c r="L34" i="4" s="1"/>
  <c r="B333" i="21"/>
  <c r="G334" i="21"/>
  <c r="I35" i="4" s="1"/>
  <c r="G336" i="21"/>
  <c r="J35" i="4" s="1"/>
  <c r="G337" i="21"/>
  <c r="K35" i="4" s="1"/>
  <c r="G339" i="21"/>
  <c r="L35" i="4" s="1"/>
  <c r="B340" i="21"/>
  <c r="G341" i="21"/>
  <c r="I36" i="4" s="1"/>
  <c r="G343" i="21"/>
  <c r="J36" i="4" s="1"/>
  <c r="G345" i="21"/>
  <c r="K36" i="4" s="1"/>
  <c r="G348" i="21"/>
  <c r="L36" i="4" s="1"/>
  <c r="B351" i="21"/>
  <c r="G352" i="21"/>
  <c r="I37" i="4" s="1"/>
  <c r="G353" i="21"/>
  <c r="J37" i="4" s="1"/>
  <c r="G355" i="21"/>
  <c r="K37" i="4" s="1"/>
  <c r="G358" i="21"/>
  <c r="L37" i="4" s="1"/>
  <c r="B359" i="21"/>
  <c r="G360" i="21"/>
  <c r="I38" i="4" s="1"/>
  <c r="G362" i="21"/>
  <c r="J38" i="4" s="1"/>
  <c r="G363" i="21"/>
  <c r="K38" i="4" s="1"/>
  <c r="G366" i="21"/>
  <c r="L38" i="4" s="1"/>
  <c r="B369" i="21"/>
  <c r="G370" i="21"/>
  <c r="J39" i="4" s="1"/>
  <c r="G372" i="21"/>
  <c r="K39" i="4" s="1"/>
  <c r="C373" i="21"/>
  <c r="B374" i="21"/>
  <c r="G375" i="21"/>
  <c r="J40" i="4" s="1"/>
  <c r="G377" i="21"/>
  <c r="K40" i="4" s="1"/>
  <c r="G380" i="21"/>
  <c r="L40" i="4" s="1"/>
  <c r="B383" i="21"/>
  <c r="G384" i="21"/>
  <c r="I41" i="4" s="1"/>
  <c r="G385" i="21"/>
  <c r="J41" i="4" s="1"/>
  <c r="G387" i="21"/>
  <c r="K41" i="4" s="1"/>
  <c r="G391" i="21"/>
  <c r="L41" i="4" s="1"/>
  <c r="B395" i="21"/>
  <c r="G396" i="21"/>
  <c r="I42" i="4" s="1"/>
  <c r="G398" i="21"/>
  <c r="J42" i="4" s="1"/>
  <c r="G402" i="21"/>
  <c r="K42" i="4" s="1"/>
  <c r="E47" i="19" l="1"/>
  <c r="I3" i="4"/>
  <c r="H198" i="21"/>
  <c r="L21" i="4"/>
  <c r="H155" i="21"/>
  <c r="H167" i="21"/>
  <c r="H55" i="21"/>
  <c r="H4" i="21"/>
  <c r="H269" i="21"/>
  <c r="H318" i="21"/>
  <c r="H210" i="21"/>
  <c r="H351" i="21"/>
  <c r="H120" i="21"/>
  <c r="H45" i="21"/>
  <c r="H173" i="21"/>
  <c r="H369" i="21"/>
  <c r="H307" i="21"/>
  <c r="H145" i="21"/>
  <c r="H281" i="21"/>
  <c r="H193" i="21"/>
  <c r="H17" i="21"/>
  <c r="H374" i="21"/>
  <c r="H95" i="21"/>
  <c r="H76" i="21"/>
  <c r="H383" i="21"/>
  <c r="H33" i="21"/>
  <c r="H328" i="21"/>
  <c r="H107" i="21"/>
  <c r="H286" i="21"/>
  <c r="H333" i="21"/>
  <c r="H395" i="21"/>
  <c r="H340" i="21"/>
  <c r="H359" i="21"/>
  <c r="H296" i="21"/>
  <c r="H187" i="21"/>
  <c r="H131" i="21"/>
  <c r="H37" i="21"/>
  <c r="H259" i="21"/>
  <c r="H215" i="21"/>
  <c r="H234" i="21"/>
  <c r="H226" i="21"/>
  <c r="H249" i="21"/>
  <c r="H265" i="21"/>
  <c r="M2" i="47"/>
  <c r="G6" i="43" l="1"/>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47" i="19"/>
  <c r="G97" i="43" l="1"/>
  <c r="G48" i="19" l="1"/>
  <c r="I47" i="19"/>
  <c r="F58" i="19"/>
  <c r="G58" i="19" l="1" a="1"/>
  <c r="G58" i="19" s="1"/>
  <c r="H48" i="19"/>
  <c r="I52" i="19" l="1"/>
  <c r="G53" i="19"/>
  <c r="D54" i="19"/>
  <c r="H75" i="19"/>
  <c r="G75" i="19"/>
  <c r="I77" i="19" l="1"/>
  <c r="F86" i="19"/>
  <c r="G86" i="19"/>
  <c r="H4" i="47" l="1"/>
  <c r="H5" i="47"/>
  <c r="H6" i="47"/>
  <c r="H7" i="47"/>
  <c r="H11" i="47"/>
  <c r="H12" i="47"/>
  <c r="H13" i="47"/>
  <c r="H14" i="47"/>
  <c r="H15" i="47"/>
  <c r="H16" i="47"/>
  <c r="H18" i="47"/>
  <c r="H19" i="47"/>
  <c r="H20" i="47"/>
  <c r="H21" i="47"/>
  <c r="H38" i="47"/>
  <c r="H39" i="47"/>
  <c r="H40" i="47"/>
  <c r="H41" i="47"/>
  <c r="H42" i="47"/>
  <c r="H45" i="47"/>
  <c r="H48" i="47"/>
  <c r="H49" i="47"/>
  <c r="H53" i="47"/>
  <c r="H54" i="47"/>
  <c r="H55" i="47"/>
  <c r="H56" i="47"/>
  <c r="H58" i="47"/>
  <c r="H64" i="47"/>
  <c r="H65" i="47"/>
  <c r="H66" i="47"/>
  <c r="H67" i="47"/>
  <c r="H69" i="47"/>
  <c r="H72" i="47"/>
  <c r="H73" i="47"/>
  <c r="H74" i="47"/>
  <c r="H75" i="47"/>
  <c r="H76" i="47"/>
  <c r="H77" i="47"/>
  <c r="H78" i="47"/>
  <c r="H79" i="47"/>
  <c r="H80" i="47"/>
  <c r="H81" i="47"/>
  <c r="H82" i="47"/>
  <c r="H83" i="47"/>
  <c r="H84" i="47"/>
  <c r="H85" i="47"/>
  <c r="H86" i="47"/>
  <c r="H87" i="47"/>
  <c r="H88" i="47"/>
  <c r="H91" i="47"/>
  <c r="H93" i="47"/>
  <c r="H96" i="47"/>
  <c r="H97" i="47"/>
  <c r="H108" i="47"/>
  <c r="H112" i="47"/>
  <c r="H113" i="47"/>
  <c r="H114" i="47"/>
  <c r="H115" i="47"/>
  <c r="H118" i="47"/>
  <c r="H119" i="47"/>
  <c r="H124" i="47"/>
  <c r="H134" i="47"/>
  <c r="H135" i="47"/>
  <c r="H136" i="47"/>
  <c r="H141" i="47"/>
  <c r="H142" i="47"/>
  <c r="H143" i="47"/>
  <c r="H145" i="47"/>
  <c r="H146" i="47"/>
  <c r="H147" i="47"/>
  <c r="H148" i="47"/>
  <c r="H162" i="47"/>
  <c r="H163" i="47"/>
  <c r="H164" i="47"/>
  <c r="H165" i="47"/>
  <c r="H166" i="47"/>
  <c r="H167" i="47"/>
  <c r="H168" i="47"/>
  <c r="H169" i="47"/>
  <c r="H170" i="47"/>
  <c r="H171" i="47"/>
  <c r="H172" i="47"/>
  <c r="H173" i="47"/>
  <c r="H174" i="47"/>
  <c r="H175" i="47"/>
  <c r="H178" i="47"/>
  <c r="H182" i="47"/>
  <c r="H183" i="47"/>
  <c r="H184" i="47"/>
  <c r="H186" i="47"/>
  <c r="H187" i="47"/>
  <c r="H188" i="47"/>
  <c r="H189" i="47"/>
  <c r="H190" i="47"/>
  <c r="H191" i="47"/>
  <c r="H192" i="47"/>
  <c r="H193" i="47"/>
  <c r="H196" i="47"/>
  <c r="H197" i="47"/>
  <c r="H198" i="47"/>
  <c r="H200" i="47"/>
  <c r="H201" i="47"/>
  <c r="H207" i="47"/>
  <c r="H208" i="47"/>
  <c r="H209" i="47"/>
  <c r="H210" i="47"/>
  <c r="H211" i="47"/>
  <c r="H212" i="47"/>
  <c r="H213" i="47"/>
  <c r="H214" i="47"/>
  <c r="H215" i="47"/>
  <c r="H216" i="47"/>
  <c r="H218" i="47"/>
  <c r="H219" i="47"/>
  <c r="H221" i="47"/>
  <c r="H222" i="47"/>
  <c r="H223" i="47"/>
  <c r="H228" i="47"/>
  <c r="H229" i="47"/>
  <c r="H235" i="47"/>
  <c r="H236" i="47"/>
  <c r="H237" i="47"/>
  <c r="H238" i="47"/>
  <c r="H240" i="47"/>
  <c r="H241" i="47"/>
  <c r="H242" i="47"/>
  <c r="H243" i="47"/>
  <c r="H244" i="47"/>
  <c r="H245" i="47"/>
  <c r="H246" i="47"/>
  <c r="H247" i="47"/>
  <c r="H248" i="47"/>
  <c r="H250" i="47"/>
  <c r="H253" i="47"/>
  <c r="H256" i="47"/>
  <c r="H257" i="47"/>
  <c r="G58" i="47"/>
  <c r="G66" i="47"/>
  <c r="G65" i="47"/>
  <c r="G198" i="47"/>
  <c r="G197" i="47"/>
  <c r="G196" i="47"/>
  <c r="G238" i="47"/>
  <c r="G235" i="47"/>
  <c r="G187" i="47"/>
  <c r="G257" i="47"/>
  <c r="G237" i="47"/>
  <c r="G189" i="47"/>
  <c r="G186" i="47"/>
  <c r="G236" i="47"/>
  <c r="G188" i="47"/>
  <c r="G207" i="47"/>
  <c r="G212" i="47"/>
  <c r="G211" i="47"/>
  <c r="G209" i="47"/>
  <c r="G40" i="47"/>
  <c r="G39" i="47"/>
  <c r="G56" i="47"/>
  <c r="G42" i="47"/>
  <c r="G54" i="47"/>
  <c r="G55" i="47"/>
  <c r="G53" i="47"/>
  <c r="G41" i="47"/>
  <c r="G38" i="47"/>
  <c r="G64" i="47"/>
  <c r="G67" i="47"/>
  <c r="G49" i="47"/>
  <c r="G69" i="47"/>
  <c r="G48" i="47"/>
  <c r="G45" i="47"/>
  <c r="G143" i="47"/>
  <c r="G148" i="47"/>
  <c r="G146" i="47"/>
  <c r="G136" i="47"/>
  <c r="G19" i="47"/>
  <c r="G256" i="47"/>
  <c r="G253" i="47"/>
  <c r="G201" i="47"/>
  <c r="G219" i="47"/>
  <c r="G223" i="47"/>
  <c r="G222" i="47"/>
  <c r="G221" i="47"/>
  <c r="G135" i="47"/>
  <c r="G142" i="47"/>
  <c r="G147" i="47"/>
  <c r="G119" i="47"/>
  <c r="G118" i="47"/>
  <c r="G191" i="47"/>
  <c r="G193" i="47"/>
  <c r="G174" i="47"/>
  <c r="G170" i="47"/>
  <c r="G164" i="47"/>
  <c r="G173" i="47"/>
  <c r="G169" i="47"/>
  <c r="G165" i="47"/>
  <c r="G168" i="47"/>
  <c r="G216" i="47"/>
  <c r="G215" i="47"/>
  <c r="G15" i="47"/>
  <c r="G14" i="47"/>
  <c r="G20" i="47"/>
  <c r="G218" i="47"/>
  <c r="G200" i="47"/>
  <c r="G210" i="47"/>
  <c r="G208" i="47"/>
  <c r="G178" i="47"/>
  <c r="G190" i="47"/>
  <c r="G192" i="47"/>
  <c r="G175" i="47"/>
  <c r="G167" i="47"/>
  <c r="G163" i="47"/>
  <c r="G172" i="47"/>
  <c r="G171" i="47"/>
  <c r="G166" i="47"/>
  <c r="G162" i="47"/>
  <c r="G214" i="47"/>
  <c r="G213" i="47"/>
  <c r="G184" i="47"/>
  <c r="G183" i="47"/>
  <c r="G182" i="47"/>
  <c r="G229" i="47"/>
  <c r="G250" i="47"/>
  <c r="G241" i="47"/>
  <c r="G240" i="47"/>
  <c r="G242" i="47"/>
  <c r="G248" i="47"/>
  <c r="G246" i="47"/>
  <c r="G244" i="47"/>
  <c r="G228" i="47"/>
  <c r="G243" i="47"/>
  <c r="G247" i="47"/>
  <c r="G245" i="47"/>
  <c r="G75" i="47"/>
  <c r="G115" i="47"/>
  <c r="G91" i="47"/>
  <c r="G97" i="47"/>
  <c r="G93" i="47"/>
  <c r="G96" i="47"/>
  <c r="G108" i="47"/>
  <c r="G86" i="47"/>
  <c r="G83" i="47"/>
  <c r="G78" i="47"/>
  <c r="G77" i="47"/>
  <c r="G5" i="47"/>
  <c r="G73" i="47"/>
  <c r="G113" i="47"/>
  <c r="G4" i="47"/>
  <c r="G81" i="47"/>
  <c r="G79" i="47"/>
  <c r="G74" i="47"/>
  <c r="G114" i="47"/>
  <c r="G16" i="47"/>
  <c r="G13" i="47"/>
  <c r="G12" i="47"/>
  <c r="G11" i="47"/>
  <c r="G84" i="47"/>
  <c r="G87" i="47"/>
  <c r="G7" i="47"/>
  <c r="G134" i="47"/>
  <c r="G141" i="47"/>
  <c r="G145" i="47"/>
  <c r="G82" i="47"/>
  <c r="G88" i="47"/>
  <c r="G80" i="47"/>
  <c r="G76" i="47"/>
  <c r="G85" i="47"/>
  <c r="G21" i="47"/>
  <c r="G72" i="47"/>
  <c r="G124" i="47"/>
  <c r="G112" i="47"/>
  <c r="G18" i="47"/>
  <c r="G6" i="47"/>
  <c r="L2" i="47" l="1"/>
  <c r="N2" i="47" s="1"/>
  <c r="H66" i="19" l="1"/>
  <c r="F59" i="19"/>
  <c r="H59" i="19"/>
  <c r="L2" i="43" l="1"/>
  <c r="G9" i="43" l="1"/>
  <c r="G167" i="43"/>
  <c r="G166" i="43"/>
  <c r="G165" i="43"/>
  <c r="G164" i="43"/>
  <c r="G162" i="43"/>
  <c r="G161" i="43"/>
  <c r="G160" i="43"/>
  <c r="G159" i="43"/>
  <c r="G158" i="43"/>
  <c r="G157" i="43"/>
  <c r="G156" i="43"/>
  <c r="G153" i="43"/>
  <c r="G150" i="43"/>
  <c r="G149" i="43"/>
  <c r="G144" i="43"/>
  <c r="G143" i="43"/>
  <c r="G142" i="43"/>
  <c r="G141" i="43"/>
  <c r="G140" i="43"/>
  <c r="G139" i="43"/>
  <c r="G138" i="43"/>
  <c r="G137" i="43"/>
  <c r="G136" i="43"/>
  <c r="G135" i="43"/>
  <c r="G134" i="43"/>
  <c r="G133" i="43"/>
  <c r="G132" i="43"/>
  <c r="G131" i="43"/>
  <c r="G130" i="43"/>
  <c r="G129" i="43"/>
  <c r="G128" i="43"/>
  <c r="G127" i="43"/>
  <c r="G126" i="43"/>
  <c r="G125" i="43"/>
  <c r="G124" i="43"/>
  <c r="G123" i="43"/>
  <c r="G120" i="43"/>
  <c r="G119" i="43"/>
  <c r="G118" i="43"/>
  <c r="G116" i="43"/>
  <c r="G115" i="43"/>
  <c r="G113" i="43"/>
  <c r="G112" i="43"/>
  <c r="G105" i="43"/>
  <c r="G99" i="43"/>
  <c r="G98" i="43"/>
  <c r="G96" i="43"/>
  <c r="G95" i="43"/>
  <c r="G94" i="43"/>
  <c r="G93" i="43"/>
  <c r="G90" i="43"/>
  <c r="G89" i="43"/>
  <c r="G88" i="43"/>
  <c r="G87" i="43"/>
  <c r="G86" i="43"/>
  <c r="G85" i="43"/>
  <c r="G84" i="43"/>
  <c r="G83" i="43"/>
  <c r="G81" i="43"/>
  <c r="G80" i="43"/>
  <c r="G77" i="43"/>
  <c r="G76" i="43"/>
  <c r="G75" i="43"/>
  <c r="G74" i="43"/>
  <c r="G73" i="43"/>
  <c r="G72" i="43"/>
  <c r="G71" i="43"/>
  <c r="G70" i="43"/>
  <c r="G69" i="43"/>
  <c r="G68" i="43"/>
  <c r="G67" i="43"/>
  <c r="G66" i="43"/>
  <c r="G65" i="43"/>
  <c r="G64" i="43"/>
  <c r="G63" i="43"/>
  <c r="G62" i="43"/>
  <c r="G61" i="43"/>
  <c r="G57" i="43"/>
  <c r="G56" i="43"/>
  <c r="G55" i="43"/>
  <c r="G53" i="43"/>
  <c r="G47" i="43"/>
  <c r="G46" i="43"/>
  <c r="G45" i="43"/>
  <c r="G44" i="43"/>
  <c r="G43" i="43"/>
  <c r="G41" i="43"/>
  <c r="G40" i="43"/>
  <c r="G39" i="43"/>
  <c r="G38" i="43"/>
  <c r="G36" i="43"/>
  <c r="G35" i="43"/>
  <c r="G34" i="43"/>
  <c r="G178" i="43"/>
  <c r="G177" i="43"/>
  <c r="G176" i="43"/>
  <c r="G175" i="43"/>
  <c r="G174" i="43"/>
  <c r="G173" i="43"/>
  <c r="G172" i="43"/>
  <c r="G31" i="43"/>
  <c r="G30" i="43"/>
  <c r="G29" i="43"/>
  <c r="G28" i="43"/>
  <c r="G27" i="43"/>
  <c r="G26" i="43"/>
  <c r="G25" i="43"/>
  <c r="G24" i="43"/>
  <c r="G23" i="43"/>
  <c r="G22" i="43"/>
  <c r="G21" i="43"/>
  <c r="G20" i="43"/>
  <c r="G19" i="43"/>
  <c r="G14" i="43"/>
  <c r="G13" i="43"/>
  <c r="G12" i="43"/>
  <c r="G10" i="43"/>
  <c r="G8" i="43"/>
  <c r="G7" i="43"/>
  <c r="G5" i="43"/>
  <c r="G4" i="43"/>
  <c r="F178" i="43"/>
  <c r="F177" i="43"/>
  <c r="F176" i="43"/>
  <c r="F175" i="43"/>
  <c r="F174" i="43"/>
  <c r="F173" i="43"/>
  <c r="F172" i="43"/>
  <c r="F167" i="43"/>
  <c r="F166" i="43"/>
  <c r="F165" i="43"/>
  <c r="F164" i="43"/>
  <c r="F162" i="43"/>
  <c r="F161" i="43"/>
  <c r="F160" i="43"/>
  <c r="F159" i="43"/>
  <c r="F158" i="43"/>
  <c r="F157" i="43"/>
  <c r="F156" i="43"/>
  <c r="F153" i="43"/>
  <c r="F150" i="43"/>
  <c r="F149" i="43"/>
  <c r="F144" i="43"/>
  <c r="F143" i="43"/>
  <c r="F142" i="43"/>
  <c r="F141" i="43"/>
  <c r="F140" i="43"/>
  <c r="F139" i="43"/>
  <c r="F138" i="43"/>
  <c r="F137" i="43"/>
  <c r="F136" i="43"/>
  <c r="F135" i="43"/>
  <c r="F134" i="43"/>
  <c r="F133" i="43"/>
  <c r="F132" i="43"/>
  <c r="F131" i="43"/>
  <c r="F130" i="43"/>
  <c r="F129" i="43"/>
  <c r="F128" i="43"/>
  <c r="F127" i="43"/>
  <c r="F126" i="43"/>
  <c r="F125" i="43"/>
  <c r="F124" i="43"/>
  <c r="F123" i="43"/>
  <c r="F120" i="43"/>
  <c r="F119" i="43"/>
  <c r="F118" i="43"/>
  <c r="F116" i="43"/>
  <c r="F115" i="43"/>
  <c r="F113" i="43"/>
  <c r="F112" i="43"/>
  <c r="F105" i="43"/>
  <c r="F99" i="43"/>
  <c r="F98" i="43"/>
  <c r="F97" i="43"/>
  <c r="F96" i="43"/>
  <c r="F95" i="43"/>
  <c r="F94" i="43"/>
  <c r="F93" i="43"/>
  <c r="F90" i="43"/>
  <c r="F89" i="43"/>
  <c r="F88" i="43"/>
  <c r="F87" i="43"/>
  <c r="F86" i="43"/>
  <c r="F85" i="43"/>
  <c r="F84" i="43"/>
  <c r="F83" i="43"/>
  <c r="F81" i="43"/>
  <c r="F80" i="43"/>
  <c r="F77" i="43"/>
  <c r="F76" i="43"/>
  <c r="F75" i="43"/>
  <c r="F74" i="43"/>
  <c r="F73" i="43"/>
  <c r="F72" i="43"/>
  <c r="F71" i="43"/>
  <c r="F70" i="43"/>
  <c r="F69" i="43"/>
  <c r="F68" i="43"/>
  <c r="F67" i="43"/>
  <c r="F66" i="43"/>
  <c r="F65" i="43"/>
  <c r="F64" i="43"/>
  <c r="F63" i="43"/>
  <c r="F62" i="43"/>
  <c r="F61" i="43"/>
  <c r="F57" i="43"/>
  <c r="F56" i="43"/>
  <c r="F55" i="43"/>
  <c r="F53" i="43"/>
  <c r="F47" i="43"/>
  <c r="F46" i="43"/>
  <c r="F45" i="43"/>
  <c r="F44" i="43"/>
  <c r="F43" i="43"/>
  <c r="F41" i="43"/>
  <c r="F40" i="43"/>
  <c r="F39" i="43"/>
  <c r="F38" i="43"/>
  <c r="F36" i="43"/>
  <c r="F35" i="43"/>
  <c r="F34" i="43"/>
  <c r="F31" i="43"/>
  <c r="F30" i="43"/>
  <c r="F29" i="43"/>
  <c r="F28" i="43"/>
  <c r="F27" i="43"/>
  <c r="F26" i="43"/>
  <c r="F25" i="43"/>
  <c r="F24" i="43"/>
  <c r="F23" i="43"/>
  <c r="F22" i="43"/>
  <c r="F21" i="43"/>
  <c r="F20" i="43"/>
  <c r="F19" i="43"/>
  <c r="F14" i="43"/>
  <c r="F13" i="43"/>
  <c r="F12" i="43"/>
  <c r="F10" i="43"/>
  <c r="F8" i="43"/>
  <c r="F7" i="43"/>
  <c r="F5" i="43"/>
  <c r="F6" i="43"/>
  <c r="F4" i="43"/>
  <c r="K2" i="43" l="1"/>
  <c r="M2" i="43" s="1"/>
  <c r="B12" i="19" l="1"/>
  <c r="C50" i="19" l="1"/>
  <c r="C85" i="19" l="1"/>
  <c r="C83" i="19"/>
  <c r="C82" i="19"/>
  <c r="C81" i="19"/>
  <c r="C80" i="19"/>
  <c r="C79" i="19"/>
  <c r="C75" i="19"/>
  <c r="C74" i="19"/>
  <c r="C73" i="19"/>
  <c r="C66" i="19"/>
  <c r="C65" i="19"/>
  <c r="C63" i="19"/>
  <c r="C61" i="19"/>
  <c r="C56" i="19"/>
  <c r="C54" i="19"/>
  <c r="C76" i="19"/>
  <c r="C72" i="19"/>
  <c r="C67" i="19"/>
  <c r="C68" i="19"/>
  <c r="C62" i="19"/>
  <c r="C59" i="19"/>
  <c r="C57" i="19"/>
  <c r="C51" i="19"/>
  <c r="C49" i="19"/>
  <c r="C47" i="19" l="1"/>
  <c r="C55" i="19"/>
  <c r="C53" i="19"/>
  <c r="C58" i="19"/>
  <c r="C60" i="19"/>
  <c r="C52" i="19"/>
  <c r="C48" i="19"/>
  <c r="C64" i="19"/>
  <c r="C86" i="19"/>
  <c r="C77" i="19"/>
  <c r="C69" i="19"/>
  <c r="C78" i="19"/>
  <c r="C84" i="19"/>
  <c r="C70" i="19"/>
  <c r="C71" i="19"/>
  <c r="C87" i="19" l="1"/>
  <c r="S3" i="4" s="1"/>
  <c r="D86" i="19" l="1"/>
  <c r="J85" i="19"/>
  <c r="G85" i="19"/>
  <c r="F85" i="19"/>
  <c r="G83" i="19"/>
  <c r="F83" i="19"/>
  <c r="F82" i="19"/>
  <c r="F81" i="19"/>
  <c r="F80" i="19"/>
  <c r="E80" i="19"/>
  <c r="H79" i="19"/>
  <c r="E77" i="19"/>
  <c r="D77" i="19"/>
  <c r="F76" i="19"/>
  <c r="E76" i="19"/>
  <c r="F75" i="19"/>
  <c r="H74" i="19"/>
  <c r="F74" i="19"/>
  <c r="D74" i="19"/>
  <c r="F72" i="19"/>
  <c r="D72" i="19"/>
  <c r="E70" i="19"/>
  <c r="D70" i="19"/>
  <c r="F69" i="19"/>
  <c r="F66" i="19"/>
  <c r="E66" i="19"/>
  <c r="D66" i="19"/>
  <c r="H63" i="19"/>
  <c r="G63" i="19"/>
  <c r="E64" i="19"/>
  <c r="D62" i="19"/>
  <c r="H61" i="19"/>
  <c r="G61" i="19"/>
  <c r="D57" i="19"/>
  <c r="G56" i="19"/>
  <c r="F56" i="19"/>
  <c r="H55" i="19"/>
  <c r="E55" i="19"/>
  <c r="E81" i="19" l="1"/>
  <c r="G57" i="19"/>
  <c r="E63" i="19"/>
  <c r="F84" i="19"/>
  <c r="I61" i="19"/>
  <c r="E57" i="19"/>
  <c r="G84" i="19"/>
  <c r="H67" i="19"/>
  <c r="E58" i="19"/>
  <c r="G77" i="19"/>
  <c r="F79" i="19"/>
  <c r="J63" i="19"/>
  <c r="E72" i="19"/>
  <c r="E56" i="19"/>
  <c r="G76" i="19"/>
  <c r="D59" i="19"/>
  <c r="D80" i="19"/>
  <c r="F61" i="19"/>
  <c r="H82" i="19"/>
  <c r="D58" i="19"/>
  <c r="E59" i="19"/>
  <c r="F54" i="19"/>
  <c r="F47" i="19"/>
  <c r="J68" i="19"/>
  <c r="G67" i="19"/>
  <c r="I67" i="19"/>
  <c r="J67" i="19"/>
  <c r="D69" i="19"/>
  <c r="F53" i="19"/>
  <c r="H72" i="19"/>
  <c r="D60" i="19"/>
  <c r="E68" i="19"/>
  <c r="D53" i="19"/>
  <c r="E52" i="19"/>
  <c r="H51" i="19"/>
  <c r="E51" i="19"/>
  <c r="E50" i="19"/>
  <c r="D50" i="19" l="1"/>
  <c r="F52" i="19"/>
  <c r="D49" i="19"/>
  <c r="F50" i="19"/>
  <c r="G52" i="19"/>
  <c r="D48" i="19"/>
  <c r="G47" i="19"/>
  <c r="G55" i="19"/>
  <c r="J55" i="19"/>
  <c r="F48" i="19" l="1"/>
  <c r="M11" i="4" l="1"/>
  <c r="B20" i="19" l="1"/>
  <c r="B24" i="19"/>
  <c r="E71" i="19"/>
  <c r="B32" i="19"/>
  <c r="B33" i="19"/>
  <c r="B34" i="19"/>
  <c r="B35" i="19"/>
  <c r="B36" i="19"/>
  <c r="B37" i="19"/>
  <c r="B38" i="19"/>
  <c r="B39" i="19"/>
  <c r="B40" i="19"/>
  <c r="B41" i="19"/>
  <c r="B42" i="19"/>
  <c r="B43" i="19"/>
  <c r="B31" i="19"/>
  <c r="B5" i="19"/>
  <c r="B6" i="19"/>
  <c r="B7" i="19"/>
  <c r="B8" i="19"/>
  <c r="B9" i="19"/>
  <c r="B10" i="19"/>
  <c r="B11" i="19"/>
  <c r="B13" i="19"/>
  <c r="B14" i="19"/>
  <c r="B15" i="19"/>
  <c r="B16" i="19"/>
  <c r="B17" i="19"/>
  <c r="B18" i="19"/>
  <c r="B19" i="19"/>
  <c r="B21" i="19"/>
  <c r="B22" i="19"/>
  <c r="B23" i="19"/>
  <c r="B25" i="19"/>
  <c r="B26" i="19"/>
  <c r="B27" i="19"/>
  <c r="B28" i="19"/>
  <c r="B29" i="19"/>
  <c r="B30" i="19"/>
  <c r="B4" i="19"/>
  <c r="I82" i="19"/>
  <c r="G69" i="19"/>
  <c r="H76" i="19"/>
  <c r="H71" i="19"/>
  <c r="I78" i="19"/>
  <c r="J69" i="19"/>
  <c r="I57" i="19"/>
  <c r="E60" i="19"/>
  <c r="E78" i="19"/>
  <c r="E62" i="19"/>
  <c r="I50" i="19"/>
  <c r="G82" i="19"/>
  <c r="J56" i="19"/>
  <c r="I62" i="19"/>
  <c r="D81" i="19"/>
  <c r="F68" i="19"/>
  <c r="I84" i="19"/>
  <c r="F51" i="19"/>
  <c r="D75" i="19"/>
  <c r="I64" i="19"/>
  <c r="D64" i="19"/>
  <c r="J81" i="19"/>
  <c r="E65" i="19"/>
  <c r="I53" i="19"/>
  <c r="G54" i="19"/>
  <c r="F70" i="19" l="1"/>
  <c r="D85" i="19"/>
  <c r="G79" i="19"/>
  <c r="H54" i="19"/>
  <c r="F65" i="19"/>
  <c r="G68" i="19"/>
  <c r="H80" i="19"/>
  <c r="F71" i="19"/>
  <c r="E73" i="19"/>
  <c r="E87" i="19" s="1"/>
  <c r="S5" i="4" s="1"/>
  <c r="D78" i="19"/>
  <c r="I51" i="19"/>
  <c r="H78" i="19"/>
  <c r="F73" i="19"/>
  <c r="I79" i="19"/>
  <c r="F49" i="19"/>
  <c r="J87" i="19"/>
  <c r="S10" i="4" s="1"/>
  <c r="I74" i="19"/>
  <c r="M33" i="4"/>
  <c r="M13" i="4"/>
  <c r="M40" i="4"/>
  <c r="M6" i="4"/>
  <c r="M9" i="4"/>
  <c r="M36" i="4"/>
  <c r="M5" i="4"/>
  <c r="M32" i="4"/>
  <c r="M30" i="4"/>
  <c r="M39" i="4"/>
  <c r="M26" i="4"/>
  <c r="M22" i="4"/>
  <c r="M14" i="4"/>
  <c r="M4" i="4"/>
  <c r="M3" i="4"/>
  <c r="M23" i="4"/>
  <c r="M17" i="4"/>
  <c r="M28" i="4"/>
  <c r="M8" i="4"/>
  <c r="M21" i="4"/>
  <c r="N3" i="4" l="1"/>
  <c r="D87" i="19"/>
  <c r="S4" i="4" s="1"/>
  <c r="I87" i="19"/>
  <c r="S9" i="4" s="1"/>
  <c r="H87" i="19"/>
  <c r="S8" i="4" s="1"/>
  <c r="F87" i="19"/>
  <c r="S6" i="4" s="1"/>
  <c r="M24" i="4"/>
  <c r="M18" i="4"/>
  <c r="M35" i="4"/>
  <c r="M38" i="4"/>
  <c r="M29" i="4"/>
  <c r="M27" i="4"/>
  <c r="M41" i="4"/>
  <c r="M34" i="4"/>
  <c r="M19" i="4"/>
  <c r="M37" i="4"/>
  <c r="M31" i="4"/>
  <c r="N30" i="4" s="1"/>
  <c r="M10" i="4"/>
  <c r="M7" i="4"/>
  <c r="M12" i="4"/>
  <c r="M15" i="4"/>
  <c r="M42" i="4"/>
  <c r="M20" i="4"/>
  <c r="M25" i="4"/>
  <c r="M16" i="4"/>
  <c r="N5" i="4" l="1"/>
  <c r="N22" i="4"/>
  <c r="N11" i="4"/>
  <c r="Y4" i="4"/>
  <c r="Y5" i="4" s="1"/>
  <c r="Y6" i="4" s="1"/>
  <c r="N41" i="4"/>
  <c r="N17" i="4"/>
  <c r="O3" i="4"/>
  <c r="N37" i="4"/>
  <c r="N32" i="4"/>
  <c r="G87" i="19"/>
  <c r="S7" i="4" s="1"/>
  <c r="Y7" i="4" l="1"/>
  <c r="Y8" i="4" s="1"/>
  <c r="Y9" i="4" l="1"/>
  <c r="Y10" i="4" s="1"/>
  <c r="T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<sst xmlns="http://schemas.openxmlformats.org/spreadsheetml/2006/main" count="3066" uniqueCount="2095">
  <si>
    <t>ID</t>
  </si>
  <si>
    <t>DSOMM</t>
  </si>
  <si>
    <t>T-ADI-DEP-0-1</t>
  </si>
  <si>
    <t>T-ADI-DEP-1-1</t>
  </si>
  <si>
    <t>SB-B-2</t>
  </si>
  <si>
    <t>T-ADI-DEP-1-2</t>
  </si>
  <si>
    <t>T-ADI-DEP-1-3</t>
  </si>
  <si>
    <t>SR2.7</t>
  </si>
  <si>
    <t>T-ADI-DEP-1-4</t>
  </si>
  <si>
    <t>T-ADI-DEP-1-5</t>
  </si>
  <si>
    <t>T-ADI-DEP-2-1</t>
  </si>
  <si>
    <t>T-ADI-DEP-2-2</t>
  </si>
  <si>
    <t>T-ADI-DEP-3-1</t>
  </si>
  <si>
    <t>SB-B-1</t>
  </si>
  <si>
    <t>T-ADI-DEP-3-2</t>
  </si>
  <si>
    <t>T-ADI-DEP-3-3</t>
  </si>
  <si>
    <t>T-ADI-DEP-4-1</t>
  </si>
  <si>
    <t>T-ADI-DEP-4-2</t>
  </si>
  <si>
    <t>T-ADI-ART-0-1</t>
  </si>
  <si>
    <t>T-ADI-ART-1-1</t>
  </si>
  <si>
    <t>T-ADI-ART-1-2</t>
  </si>
  <si>
    <t>T-ADI-ART-1-3</t>
  </si>
  <si>
    <t>T-ADI-ART-1-4</t>
  </si>
  <si>
    <t>T-ADI-ART-1-5</t>
  </si>
  <si>
    <t>T-ADI-ART-2-1</t>
  </si>
  <si>
    <t>T-ADI-ART-2-2</t>
  </si>
  <si>
    <t>T-ADI-ART-3-1</t>
  </si>
  <si>
    <t>SE2.4</t>
  </si>
  <si>
    <t>T-ADI-ART-3-2</t>
  </si>
  <si>
    <t>T-ADI-ART-4-1</t>
  </si>
  <si>
    <t>T-DEV-COMP-0-1</t>
  </si>
  <si>
    <t>T-DEV-COMP-1-1</t>
  </si>
  <si>
    <t>T-DEV-COMP-1-2</t>
  </si>
  <si>
    <t>T-DEV-COMP-2-1</t>
  </si>
  <si>
    <t>T-DEV-SM-0-1</t>
  </si>
  <si>
    <t>T-DEV-SM-1-1</t>
  </si>
  <si>
    <t>T-DEV-SM-1-2</t>
  </si>
  <si>
    <t>T-DEV-SM-2-1</t>
  </si>
  <si>
    <t>T-DEV-SM-2-2</t>
  </si>
  <si>
    <t>T-DEV-SM-3-1</t>
  </si>
  <si>
    <t>T-DEV-SM-3-2</t>
  </si>
  <si>
    <t>T-DEV-SM-4-1</t>
  </si>
  <si>
    <t>T-DEV-BLD-0-1</t>
  </si>
  <si>
    <t>T-DEV-BLD-1-1</t>
  </si>
  <si>
    <t>T-DEV-BLD-1-2</t>
  </si>
  <si>
    <t>T-DEV-BLD-1-3</t>
  </si>
  <si>
    <t>T-DEV-BLD-1-4</t>
  </si>
  <si>
    <t>SE1.1</t>
  </si>
  <si>
    <t>T-DEV-BLD-2-1</t>
  </si>
  <si>
    <t>T-DEV-BLD-3-1</t>
  </si>
  <si>
    <t>T-DEV-BLD-3-2</t>
  </si>
  <si>
    <t>T-DEV-BLD-3-3</t>
  </si>
  <si>
    <t>T-DEV-BLD-4-1</t>
  </si>
  <si>
    <t>T-DEV-SCM-0-1</t>
  </si>
  <si>
    <t>T-DEV-SCM-1-1</t>
  </si>
  <si>
    <t>T-DEV-SCM-1-2</t>
  </si>
  <si>
    <t>T-DEV-SCM-1-3</t>
  </si>
  <si>
    <t>T-DEV-SCM-1-4</t>
  </si>
  <si>
    <t>30</t>
  </si>
  <si>
    <t>T-DEV-SCM-1-5</t>
  </si>
  <si>
    <t>T-DEV-SCM-1-6</t>
  </si>
  <si>
    <t>T-DEV-SCM-1-7</t>
  </si>
  <si>
    <t>T-DEV-SCM-2-1</t>
  </si>
  <si>
    <t>T-DEV-SCM-2-2</t>
  </si>
  <si>
    <t>T-DEV-SCM-2-3</t>
  </si>
  <si>
    <t>T-DEV-SCM-2-4</t>
  </si>
  <si>
    <t>T-DEV-SCM-2-5</t>
  </si>
  <si>
    <t>T-DEV-SCM-2-6</t>
  </si>
  <si>
    <t>T-DEV-SCM-3-1</t>
  </si>
  <si>
    <t>T-DEV-SCM-3-2</t>
  </si>
  <si>
    <t>T-DEV-SCM-3-3</t>
  </si>
  <si>
    <t>33</t>
  </si>
  <si>
    <t>T-DEV-SCM-3-4</t>
  </si>
  <si>
    <t>40</t>
  </si>
  <si>
    <t>T-DEV-SCM-4-1</t>
  </si>
  <si>
    <t>T-DEV-SCM-4-2</t>
  </si>
  <si>
    <t>T-DEV-SRC-0-1</t>
  </si>
  <si>
    <t>T-DEV-SRC-1-1</t>
  </si>
  <si>
    <t>T-DEV-SRC-1-2</t>
  </si>
  <si>
    <t>T-DEV-SRC-1-3</t>
  </si>
  <si>
    <t>T-DEV-SRC-1-4</t>
  </si>
  <si>
    <t>T-DEV-SRC-1-5</t>
  </si>
  <si>
    <t>10</t>
  </si>
  <si>
    <t>T-DEV-SRC-2-1</t>
  </si>
  <si>
    <t>T-DEV-SRC-2-2</t>
  </si>
  <si>
    <t>T-DEV-SRC-2-3</t>
  </si>
  <si>
    <t>T-DEV-SRC-2-4</t>
  </si>
  <si>
    <t>9</t>
  </si>
  <si>
    <t>T-DEV-SRC-2-5</t>
  </si>
  <si>
    <t>T-DEV-SRC-2-6</t>
  </si>
  <si>
    <t>T-DEV-SRC-3-1</t>
  </si>
  <si>
    <t>T-DEV-SRC-3-2</t>
  </si>
  <si>
    <t>T-DEV-SRC-3-3</t>
  </si>
  <si>
    <t>T-DEV-SRC-3-4</t>
  </si>
  <si>
    <t>T-DEV-SRC-3-5</t>
  </si>
  <si>
    <t>T-DEV-SRC-4-1</t>
  </si>
  <si>
    <t>T-DEV-CICD-0-1</t>
  </si>
  <si>
    <t>T-DEV-CICD-1-1</t>
  </si>
  <si>
    <t>T-DEV-CICD-1-2</t>
  </si>
  <si>
    <t>T-DEV-CICD-1-3</t>
  </si>
  <si>
    <t>T-DEV-CICD-2-1</t>
  </si>
  <si>
    <t>T-DEV-CICD-2-2</t>
  </si>
  <si>
    <t>T-DEV-CICD-3-1</t>
  </si>
  <si>
    <t>T-DEV-CICD-4-1</t>
  </si>
  <si>
    <t>T-CODE-SST-0-1</t>
  </si>
  <si>
    <t>T-CODE-SST-1-1</t>
  </si>
  <si>
    <t>T-CODE-SST-1-2</t>
  </si>
  <si>
    <t>T-CODE-SST-2-1</t>
  </si>
  <si>
    <t>T-CODE-SST-2-2</t>
  </si>
  <si>
    <t>T-CODE-SST-2-3</t>
  </si>
  <si>
    <t>T-CODE-SST-2-4</t>
  </si>
  <si>
    <t>T-CODE-SST-3-1</t>
  </si>
  <si>
    <t>T-CODE-SST-3-2</t>
  </si>
  <si>
    <t>CR2.6</t>
  </si>
  <si>
    <t>T-CODE-SST-3-3</t>
  </si>
  <si>
    <t>T-CODE-SST-4-1</t>
  </si>
  <si>
    <t>T-CODE-SC-0-1</t>
  </si>
  <si>
    <t>T-CODE-SC-1-1</t>
  </si>
  <si>
    <t>SE3.8</t>
  </si>
  <si>
    <t>T-CODE-SC-1-2</t>
  </si>
  <si>
    <t>T-CODE-SC-1-3</t>
  </si>
  <si>
    <t>T-CODE-SC-2-1</t>
  </si>
  <si>
    <t>T-CODE-SC-2-2</t>
  </si>
  <si>
    <t>T-CODE-SC-2-3</t>
  </si>
  <si>
    <t>T-CODE-SC-2-4</t>
  </si>
  <si>
    <t>T-CODE-SC-2-5</t>
  </si>
  <si>
    <t>T-CODE-SC-3-1</t>
  </si>
  <si>
    <t>T-CODE-SC-3-2</t>
  </si>
  <si>
    <t>T-CODE-SC-3-3</t>
  </si>
  <si>
    <t>T-CODE-SC-3-4</t>
  </si>
  <si>
    <t>T-CODE-SC-4-1</t>
  </si>
  <si>
    <t>T-CODE-IMG-0-1</t>
  </si>
  <si>
    <t>T-CODE-IMG-1-1</t>
  </si>
  <si>
    <t>T-CODE-IMG-1-2</t>
  </si>
  <si>
    <t>T-CODE-IMG-1-3</t>
  </si>
  <si>
    <t>T-CODE-IMG-2-1</t>
  </si>
  <si>
    <t>T-CODE-IMG-2-2</t>
  </si>
  <si>
    <t>T-CODE-IMG-2-3</t>
  </si>
  <si>
    <t>T-CODE-IMG-3-1</t>
  </si>
  <si>
    <t>T-CODE-IMG-4-1</t>
  </si>
  <si>
    <t>T-CODE-SECDN-0-1</t>
  </si>
  <si>
    <t>T-CODE-SECDN-1-1</t>
  </si>
  <si>
    <t>T-CODE-SECDN-1-2</t>
  </si>
  <si>
    <t>T-CODE-SECDN-1-3</t>
  </si>
  <si>
    <t>T-CODE-SECDN-1-4</t>
  </si>
  <si>
    <t>T-CODE-SECDN-2-1</t>
  </si>
  <si>
    <t>T-CODE-SECDN-2-2</t>
  </si>
  <si>
    <t>T-CODE-SECDN-2-3</t>
  </si>
  <si>
    <t>T-CODE-SECDN-3-1</t>
  </si>
  <si>
    <t>T-CODE-SECDN-3-2</t>
  </si>
  <si>
    <t>T-CODE-SECDN-4-1</t>
  </si>
  <si>
    <t>T-CODE-DOCKERFS-0-1</t>
  </si>
  <si>
    <t>T-CODE-DOCKERFS-1-1</t>
  </si>
  <si>
    <t>T-CODE-DOCKERFS-1-2</t>
  </si>
  <si>
    <t>T-CODE-DOCKERFS-2-1</t>
  </si>
  <si>
    <t>T-PREPROD-DAST-0-1</t>
  </si>
  <si>
    <t>T-PREPROD-DAST-1-1</t>
  </si>
  <si>
    <t>T-PREPROD-DAST-1-2</t>
  </si>
  <si>
    <t>T-PREPROD-DAST-2-1</t>
  </si>
  <si>
    <t>T-PREPROD-DAST-2-2</t>
  </si>
  <si>
    <t>T-PREPROD-DAST-2-3</t>
  </si>
  <si>
    <t>ST1.4</t>
  </si>
  <si>
    <t>T-PREPROD-DAST-2-4</t>
  </si>
  <si>
    <t>T-PREPROD-DAST-3-1</t>
  </si>
  <si>
    <t>T-PREPROD-DAST-3-2</t>
  </si>
  <si>
    <t>T-PREPROD-DAST-3-3</t>
  </si>
  <si>
    <t>T-PREPROD-DAST-3-4</t>
  </si>
  <si>
    <t>ST2.6</t>
  </si>
  <si>
    <t>T-PREPROD-DAST-4-1</t>
  </si>
  <si>
    <t>T-PREPROD-DAST-4-2</t>
  </si>
  <si>
    <t>T-PREPROD-DAST-4-3</t>
  </si>
  <si>
    <t>T-PREPROD-PENTEST-0-1</t>
  </si>
  <si>
    <t>T-PREPROD-PENTEST-1-1</t>
  </si>
  <si>
    <t>PT1.1</t>
  </si>
  <si>
    <t>T-PREPROD-PENTEST-1-2</t>
  </si>
  <si>
    <t>T-PREPROD-PENTEST-1-3</t>
  </si>
  <si>
    <t>T-PREPROD-PENTEST-2-1</t>
  </si>
  <si>
    <t>T-PREPROD-PENTEST-4-1</t>
  </si>
  <si>
    <t>T-PREPROD-SECTEST-0-1</t>
  </si>
  <si>
    <t>T-PREPROD-SECTEST-1-1</t>
  </si>
  <si>
    <t>SR-A-1</t>
  </si>
  <si>
    <t>T-PREPROD-SECTEST-2-1</t>
  </si>
  <si>
    <t>T-PREPROD-SECTEST-2-2</t>
  </si>
  <si>
    <t>T-PREPROD-SECTEST-3-1</t>
  </si>
  <si>
    <t>T-PREPROD-VULN-0-1</t>
  </si>
  <si>
    <t>T-PREPROD-VULN-1-1</t>
  </si>
  <si>
    <t>T-PREPROD-VULN-1-2</t>
  </si>
  <si>
    <t>T-PREPROD-VULN-2-1</t>
  </si>
  <si>
    <t>T-PREPROD-VULN-2-2</t>
  </si>
  <si>
    <t>T-PREPROD-VULN-2-3</t>
  </si>
  <si>
    <t>T-PREPROD-VULN-3-1</t>
  </si>
  <si>
    <t>T-PREPROD-VULN-3-2</t>
  </si>
  <si>
    <t>T-PREPROD-VULN-3-3</t>
  </si>
  <si>
    <t>T-PREPROD-VULN-3-4</t>
  </si>
  <si>
    <t>T-PREPROD-VULN-4-1</t>
  </si>
  <si>
    <t>T-PREPROD-VULN-4-2</t>
  </si>
  <si>
    <t>T-PREPROD-MANSEC-0-1</t>
  </si>
  <si>
    <t>T-PREPROD-MANSEC-1-1</t>
  </si>
  <si>
    <t>T-PREPROD-MANSEC-2-1</t>
  </si>
  <si>
    <t>SE2.2</t>
  </si>
  <si>
    <t>T-PROD-SM-0-1</t>
  </si>
  <si>
    <t>T-PROD-SM-1-1</t>
  </si>
  <si>
    <t>T-PROD-SM-1-2</t>
  </si>
  <si>
    <t>T-PROD-SM-2-1</t>
  </si>
  <si>
    <t>T-PROD-SM-2-2</t>
  </si>
  <si>
    <t>T-PROD-SM-3-1</t>
  </si>
  <si>
    <t>T-PROD-SM-3-2</t>
  </si>
  <si>
    <t>T-PROD-SM-3-3</t>
  </si>
  <si>
    <t>T-PROD-SM-4-1</t>
  </si>
  <si>
    <t>T-PROD-SM-4-2</t>
  </si>
  <si>
    <t>T-PROD-PENTEST-0-1</t>
  </si>
  <si>
    <t>T-PROD-PENTEST-1-1</t>
  </si>
  <si>
    <t>T-PROD-PENTEST-1-2</t>
  </si>
  <si>
    <t>T-PROD-PENTEST-1-3</t>
  </si>
  <si>
    <t>T-PROD-PENTEST-2-1</t>
  </si>
  <si>
    <t>T-PROD-PENTEST-3-1</t>
  </si>
  <si>
    <t>T-PROD-PENTEST-4-1</t>
  </si>
  <si>
    <t>T-PROD-PENTEST-4-2</t>
  </si>
  <si>
    <t>T-PROD-DAST-0-1</t>
  </si>
  <si>
    <t>T-PROD-DAST-1-1</t>
  </si>
  <si>
    <t>T-PROD-DAST-1-2</t>
  </si>
  <si>
    <t>T-PROD-DAST-1-3</t>
  </si>
  <si>
    <t>T-PROD-DAST-2-1</t>
  </si>
  <si>
    <t>T-PROD-DAST-2-2</t>
  </si>
  <si>
    <t>T-PROD-DAST-2-3</t>
  </si>
  <si>
    <t>T-PROD-DAST-2-5</t>
  </si>
  <si>
    <t>T-PROD-DAST-3-1</t>
  </si>
  <si>
    <t>T-PROD-DAST-3-2</t>
  </si>
  <si>
    <t>T-PROD-DAST-3-3</t>
  </si>
  <si>
    <t>T-PROD-DAST-3-4</t>
  </si>
  <si>
    <t>T-PROD-DAST-4-1</t>
  </si>
  <si>
    <t>T-PROD-DAST-4-2</t>
  </si>
  <si>
    <t>T-PROD-DAST-4-3</t>
  </si>
  <si>
    <t>T-PROD-ACCESS-0-1</t>
  </si>
  <si>
    <t>T-PROD-ACCESS-1-1</t>
  </si>
  <si>
    <t>T-PROD-ACCESS-1-2</t>
  </si>
  <si>
    <t>T-PROD-ACCESS-1-3</t>
  </si>
  <si>
    <t>T-PROD-ACCESS-1-4</t>
  </si>
  <si>
    <t>T-PROD-ACCESS-1-5</t>
  </si>
  <si>
    <t>T-PROD-ACCESS-2-1</t>
  </si>
  <si>
    <t>T-PROD-ACCESS-2-2</t>
  </si>
  <si>
    <t>T-PROD-ACCESS-3-1</t>
  </si>
  <si>
    <t>T-PROD-ACCESS-4-1</t>
  </si>
  <si>
    <t>T-PROD-NETWORK-0-1</t>
  </si>
  <si>
    <t>T-PROD-NETWORK-1-1</t>
  </si>
  <si>
    <t>SE1.2</t>
  </si>
  <si>
    <t>T-PROD-NETWORK-1-2</t>
  </si>
  <si>
    <t>T-PROD-NETWORK-2-1</t>
  </si>
  <si>
    <t>T-PROD-NETWORK-2-2</t>
  </si>
  <si>
    <t>T-PROD-NETWORK-3-1</t>
  </si>
  <si>
    <t>T-PROD-RUN-0-1</t>
  </si>
  <si>
    <t>T-PROD-RUN-1-1</t>
  </si>
  <si>
    <t>T-PROD-RUN-2-1</t>
  </si>
  <si>
    <t>T-PROD-RUN-3-1</t>
  </si>
  <si>
    <t>T-PROD-VULN-0-1</t>
  </si>
  <si>
    <t>T-PROD-VULN-1-1</t>
  </si>
  <si>
    <t>T-PROD-VULN-1-2</t>
  </si>
  <si>
    <t>T-PROD-VULN-2-1</t>
  </si>
  <si>
    <t>T-PROD-VULN-2-2</t>
  </si>
  <si>
    <t>T-PROD-VULN-2-3</t>
  </si>
  <si>
    <t>T-PROD-VULN-3-1</t>
  </si>
  <si>
    <t>T-PROD-VULN-3-2</t>
  </si>
  <si>
    <t>T-PROD-VULN-3-3</t>
  </si>
  <si>
    <t>T-PROD-VULN-3-4</t>
  </si>
  <si>
    <t>T-PROD-VULN-4-1</t>
  </si>
  <si>
    <t>T-PROD-VULN-4-2</t>
  </si>
  <si>
    <t>T-PROD-EVENTS-0-1</t>
  </si>
  <si>
    <t>T-PROD-EVENTS-2-1</t>
  </si>
  <si>
    <t>T-PROD-EVENTS-3-1</t>
  </si>
  <si>
    <t>P-EDU-AWR-0-1</t>
  </si>
  <si>
    <t>P-EDU-AWR-1-1</t>
  </si>
  <si>
    <t>TA-A-1</t>
  </si>
  <si>
    <t>P-EDU-AWR-1-2</t>
  </si>
  <si>
    <t>P-EDU-AWR-2-1</t>
  </si>
  <si>
    <t>P-EDU-AWR-2-2</t>
  </si>
  <si>
    <t>P-EDU-AWR-2-3</t>
  </si>
  <si>
    <t>T2.5
T2.9</t>
  </si>
  <si>
    <t>P-EDU-AWR-2-4</t>
  </si>
  <si>
    <t>P-EDU-AWR-3-1</t>
  </si>
  <si>
    <t>P-EDU-AWR-3-2</t>
  </si>
  <si>
    <t>T3.1</t>
  </si>
  <si>
    <t>P-EDU-AWR-4-1</t>
  </si>
  <si>
    <t>P-EDU-KB-0-1</t>
  </si>
  <si>
    <t>P-EDU-KB-1-1</t>
  </si>
  <si>
    <t>P-EDU-KB-2-1</t>
  </si>
  <si>
    <t>P-EDU-KB-2-3</t>
  </si>
  <si>
    <t>P-EDU-KB-3-1</t>
  </si>
  <si>
    <t>P-EDU-KB-3-2</t>
  </si>
  <si>
    <t>P-EDU-KB-4-1</t>
  </si>
  <si>
    <t>P-REQ-TM-0-1</t>
  </si>
  <si>
    <t>P-REQ-TM-1-1</t>
  </si>
  <si>
    <t>P-REQ-TM-1-2</t>
  </si>
  <si>
    <t>P-REQ-TM-1-3</t>
  </si>
  <si>
    <t>P-REQ-TM-2-1</t>
  </si>
  <si>
    <t>P-REQ-TM-2-2</t>
  </si>
  <si>
    <t>P-REQ-TM-2-3</t>
  </si>
  <si>
    <t>SM2.2</t>
  </si>
  <si>
    <t>P-REQ-TM-3-1</t>
  </si>
  <si>
    <t>P-REQ-TM-3-2</t>
  </si>
  <si>
    <t>P-REQ-TM-3-3</t>
  </si>
  <si>
    <t>P-REQ-TM-4-1</t>
  </si>
  <si>
    <t>P-REQ-RD-0-1</t>
  </si>
  <si>
    <t>P-REQ-RD-1-1</t>
  </si>
  <si>
    <t>P-REQ-RD-1-2</t>
  </si>
  <si>
    <t>P-REQ-RD-2-1</t>
  </si>
  <si>
    <t>P-REQ-RD-2-2</t>
  </si>
  <si>
    <t>SA-A-1</t>
  </si>
  <si>
    <t>P-REQ-RD-2-3</t>
  </si>
  <si>
    <t>P-REQ-RD-3-1</t>
  </si>
  <si>
    <t>P-REQ-RD-3-2</t>
  </si>
  <si>
    <t>P-REQ-RD-3-3</t>
  </si>
  <si>
    <t>P-REQ-CR-0-1</t>
  </si>
  <si>
    <t>P-REQ-CR-1-1</t>
  </si>
  <si>
    <t>P-REQ-CR-2-1</t>
  </si>
  <si>
    <t>P-REQ-CR-3-1</t>
  </si>
  <si>
    <t>P-REQ-CR-4-1</t>
  </si>
  <si>
    <t>P-REQ-STDR-App-0-1</t>
  </si>
  <si>
    <t>P-REQ-STDR-App-1-1</t>
  </si>
  <si>
    <t>P-REQ-STDR-App-1-2</t>
  </si>
  <si>
    <t>P-REQ-STDR-App-2-1</t>
  </si>
  <si>
    <t>P-REQ-STDR-App-3-1</t>
  </si>
  <si>
    <t>P-REQ-STDR-App-3-3</t>
  </si>
  <si>
    <t>P-REQ-STDR-App-4-1</t>
  </si>
  <si>
    <t>P-REQ-STDR-Infr-0-1</t>
  </si>
  <si>
    <t>P-REQ-STDR-Infr-1-1</t>
  </si>
  <si>
    <t>P-REQ-STDR-Infr-1-2</t>
  </si>
  <si>
    <t>P-REQ-STDR-Infr-2-1</t>
  </si>
  <si>
    <t>P-REQ-STDR-Infr-2-2</t>
  </si>
  <si>
    <t>P-REQ-STDR-Infr-3-1</t>
  </si>
  <si>
    <t>SR3.4</t>
  </si>
  <si>
    <t>P-REQ-STDR-Infr-3-2</t>
  </si>
  <si>
    <t>P-REQ-STDR-Infr-3-3</t>
  </si>
  <si>
    <t>P-REQ-STDR-Infr-4-1</t>
  </si>
  <si>
    <t>P-DEFECT-MNG-0-1</t>
  </si>
  <si>
    <t>P-DEFECT-MNG-1-1</t>
  </si>
  <si>
    <t>P-DEFECT-MNG-2-1</t>
  </si>
  <si>
    <t>P-DEFECT-MNG-2-2</t>
  </si>
  <si>
    <t>P-DEFECT-MNG-3-1</t>
  </si>
  <si>
    <t>P-DEFECT-MNG-3-2</t>
  </si>
  <si>
    <t>P-DEFECT-MNG-3-3</t>
  </si>
  <si>
    <t>P-DEFECT-MNG-4-1</t>
  </si>
  <si>
    <t>P-DEFECT-CNS-0-1</t>
  </si>
  <si>
    <t>P-DEFECT-CNS-1-1</t>
  </si>
  <si>
    <t>CR2.8</t>
  </si>
  <si>
    <t>P-DEFECT-CNS-1-2</t>
  </si>
  <si>
    <t>P-DEFECT-CNS-2-1</t>
  </si>
  <si>
    <t>P-DEFECT-CNS-3-1</t>
  </si>
  <si>
    <t>P-DEFECT-CNS-3-2</t>
  </si>
  <si>
    <t>P-DEFECT-CNS-4-1</t>
  </si>
  <si>
    <t>P-DEFECT-CNS-4-2</t>
  </si>
  <si>
    <t>P-MET-SET-0-1</t>
  </si>
  <si>
    <t>P-MET-SET-2-1</t>
  </si>
  <si>
    <t>SM3.3</t>
  </si>
  <si>
    <t>SM-B-1</t>
  </si>
  <si>
    <t>P-MET-SET-2-2</t>
  </si>
  <si>
    <t>SM-B-2</t>
  </si>
  <si>
    <t>P-MET-SET-3-1</t>
  </si>
  <si>
    <t>P-MET-SET-3-2</t>
  </si>
  <si>
    <t>P-MET-EX-0-1</t>
  </si>
  <si>
    <t>P-MET-EX-2-1</t>
  </si>
  <si>
    <t>P-MET-EX-2-2</t>
  </si>
  <si>
    <t>SM-B-3</t>
  </si>
  <si>
    <t>P-MET-EX-3-1</t>
  </si>
  <si>
    <t>P-MET-EX-3-2</t>
  </si>
  <si>
    <t>P-MET-EX-3-3</t>
  </si>
  <si>
    <t>P-MET-EX-4-1</t>
  </si>
  <si>
    <t>P-ROLE-SC-0-1</t>
  </si>
  <si>
    <t>SM2.3</t>
  </si>
  <si>
    <t>P-ROLE-SC-1-1</t>
  </si>
  <si>
    <t>P-ROLE-SC-2-1</t>
  </si>
  <si>
    <t>TA-B-1</t>
  </si>
  <si>
    <t>P-ROLE-SC-2-2</t>
  </si>
  <si>
    <t>P-ROLE-SC-3-1</t>
  </si>
  <si>
    <t>P-ROLE-SC-3-2</t>
  </si>
  <si>
    <t>CR1.7</t>
  </si>
  <si>
    <t>P-ROLE-SC-3-3</t>
  </si>
  <si>
    <t>P-ROLE-SC-3-4</t>
  </si>
  <si>
    <t>P-ROLE-SC-4-1</t>
  </si>
  <si>
    <t>P-ROLE-SC-4-2</t>
  </si>
  <si>
    <t>P-ROLE-SC-4-3</t>
  </si>
  <si>
    <t>P-ROLE-SC-4-4</t>
  </si>
  <si>
    <t>P-ROLE-RESP-0-1</t>
  </si>
  <si>
    <t>P-ROLE-RESP-1-1</t>
  </si>
  <si>
    <t>P-ROLE-RESP-1-2</t>
  </si>
  <si>
    <t>P-ROLE-RESP-2-1</t>
  </si>
  <si>
    <t>P-ROLE-RESP-2-2</t>
  </si>
  <si>
    <t>P-ROLE-RESP-2-3</t>
  </si>
  <si>
    <t>P-ROLE-RESP-3-1</t>
  </si>
  <si>
    <t>SM2.1</t>
  </si>
  <si>
    <t>CP3.3</t>
  </si>
  <si>
    <t>CR1.2</t>
  </si>
  <si>
    <t>ST1.1</t>
  </si>
  <si>
    <t>ST2.5</t>
  </si>
  <si>
    <t>ST3.6</t>
  </si>
  <si>
    <t>PT2.2</t>
  </si>
  <si>
    <t>SE3.3</t>
  </si>
  <si>
    <t>SM-A-1</t>
  </si>
  <si>
    <t>SM-A-2</t>
  </si>
  <si>
    <t>SM-A-3</t>
  </si>
  <si>
    <t>PC-A-1</t>
  </si>
  <si>
    <t>PC-A-2</t>
  </si>
  <si>
    <t>PC-A-3</t>
  </si>
  <si>
    <t>TA-A-2</t>
  </si>
  <si>
    <t>TA-B-2</t>
  </si>
  <si>
    <t>SR-A-2</t>
  </si>
  <si>
    <t>SR-A-3</t>
  </si>
  <si>
    <t>SR-B-1</t>
  </si>
  <si>
    <t>SR-B-2</t>
  </si>
  <si>
    <t>SR-B-3</t>
  </si>
  <si>
    <t>SA-A-2</t>
  </si>
  <si>
    <t>SA-A-3</t>
  </si>
  <si>
    <t>SA-B-1</t>
  </si>
  <si>
    <t>SA-B-2</t>
  </si>
  <si>
    <t>SA-B-3</t>
  </si>
  <si>
    <t>SD-A-1</t>
  </si>
  <si>
    <t>SD-A-2</t>
  </si>
  <si>
    <t>SD-A-3</t>
  </si>
  <si>
    <t>Домен</t>
  </si>
  <si>
    <t>0. Uninitiated</t>
  </si>
  <si>
    <t>1. Beginners</t>
  </si>
  <si>
    <t>2. Intermediate</t>
  </si>
  <si>
    <t>3. Advanced</t>
  </si>
  <si>
    <t>4. Experts</t>
  </si>
  <si>
    <t>Технологии</t>
  </si>
  <si>
    <t>T-ADI-DEP</t>
  </si>
  <si>
    <t>T-ADI-ART</t>
  </si>
  <si>
    <t>T-DEV-COMP</t>
  </si>
  <si>
    <t>T-DEV-SM</t>
  </si>
  <si>
    <t>T-DEV-BLD</t>
  </si>
  <si>
    <t>T-DEV-SCM</t>
  </si>
  <si>
    <t>T-DEV-SRC</t>
  </si>
  <si>
    <t>T-DEV-CICD</t>
  </si>
  <si>
    <t>T-CODE-SST</t>
  </si>
  <si>
    <t>T-CODE-SC</t>
  </si>
  <si>
    <t>T-CODE-IMG</t>
  </si>
  <si>
    <t>T-CODE-SECDN</t>
  </si>
  <si>
    <t>T-CODE-DOCKERFS</t>
  </si>
  <si>
    <t>T-PREPROD-DAST</t>
  </si>
  <si>
    <t>T-PREPROD-PENTEST</t>
  </si>
  <si>
    <t>T-PREPROD-SECTEST</t>
  </si>
  <si>
    <t>T-PREPROD-MANSEC</t>
  </si>
  <si>
    <t>T-PREPROD-VULN</t>
  </si>
  <si>
    <t>T-PROD-SM</t>
  </si>
  <si>
    <t>T-PROD-DAST</t>
  </si>
  <si>
    <t>T-PROD-PENTEST</t>
  </si>
  <si>
    <t>T-PROD-ACCESS</t>
  </si>
  <si>
    <t>T-PROD-NETWORK</t>
  </si>
  <si>
    <t>T-PROD-RUN</t>
  </si>
  <si>
    <t>T-PROD-VULN</t>
  </si>
  <si>
    <t>T-PROD-EVENTS</t>
  </si>
  <si>
    <t>Процессы</t>
  </si>
  <si>
    <t>P-EDU-AWR</t>
  </si>
  <si>
    <t>P-EDU-KB</t>
  </si>
  <si>
    <t>P-REQ-TM</t>
  </si>
  <si>
    <t>P-REQ-RD</t>
  </si>
  <si>
    <t>P-REQ-CR</t>
  </si>
  <si>
    <t>P-REQ-STDR-App</t>
  </si>
  <si>
    <t>P-REQ-STDR-Infr</t>
  </si>
  <si>
    <t>P-DEFECT-MNG</t>
  </si>
  <si>
    <t>P-DEFECT-CNS</t>
  </si>
  <si>
    <t>P-MET-SET</t>
  </si>
  <si>
    <t>P-MET-EX</t>
  </si>
  <si>
    <t>P-ROLE-SC</t>
  </si>
  <si>
    <t>Security Champions</t>
  </si>
  <si>
    <t>P-ROLE-RESP</t>
  </si>
  <si>
    <t>T-CODE-SST-4</t>
  </si>
  <si>
    <t>T-PREPROD-DAST-4</t>
  </si>
  <si>
    <t>T-PROD-ACCESS-4</t>
  </si>
  <si>
    <t>T-PROD-VULN-4</t>
  </si>
  <si>
    <t>P-DEFECT-MNG-4</t>
  </si>
  <si>
    <t>P-ROLE-SC-4</t>
  </si>
  <si>
    <t>T-DEV-SM-4</t>
  </si>
  <si>
    <t>T-DEV-SCM-4</t>
  </si>
  <si>
    <t>T-DEV-SRC-4</t>
  </si>
  <si>
    <t>T-CODE-SC-4</t>
  </si>
  <si>
    <t>T-PREPROD-DAST-3</t>
  </si>
  <si>
    <t>T-PREPROD-SECTEST-3</t>
  </si>
  <si>
    <t>P-EDU-AWR-4</t>
  </si>
  <si>
    <t>P-REQ-CR-4</t>
  </si>
  <si>
    <t>P-DEFECT-CNS-4</t>
  </si>
  <si>
    <t>P-MET-EX-4</t>
  </si>
  <si>
    <t>T-DEV-BLD-3</t>
  </si>
  <si>
    <t>T-DEV-CICD-4</t>
  </si>
  <si>
    <t>T-CODE-SECDN-4</t>
  </si>
  <si>
    <t>T-PROD-SM-4</t>
  </si>
  <si>
    <t>T-PROD-VULN-3</t>
  </si>
  <si>
    <t>P-EDU-AWR-3</t>
  </si>
  <si>
    <t>P-EDU-KB-4</t>
  </si>
  <si>
    <t>P-REQ-TM-4</t>
  </si>
  <si>
    <t>P-REQ-CR-3</t>
  </si>
  <si>
    <t>P-REQ-STDR-Infr-4</t>
  </si>
  <si>
    <t>P-DEFECT-CNS-3</t>
  </si>
  <si>
    <t>T-ADI-DEP-3</t>
  </si>
  <si>
    <t>T-ADI-ART-3</t>
  </si>
  <si>
    <t>T-DEV-SCM-3</t>
  </si>
  <si>
    <t>T-DEV-SRC-3</t>
  </si>
  <si>
    <t>T-DEV-CICD-3</t>
  </si>
  <si>
    <t>T-CODE-SST-3</t>
  </si>
  <si>
    <t>T-CODE-SC-3</t>
  </si>
  <si>
    <t>T-CODE-IMG-4</t>
  </si>
  <si>
    <t>T-PREPROD-DAST-2</t>
  </si>
  <si>
    <t>T-PROD-ACCESS-3</t>
  </si>
  <si>
    <t>T-PROD-RUN-3</t>
  </si>
  <si>
    <t>P-EDU-KB-3</t>
  </si>
  <si>
    <t>P-REQ-TM-3</t>
  </si>
  <si>
    <t>P-REQ-RD-3</t>
  </si>
  <si>
    <t>P-DEFECT-MNG-3</t>
  </si>
  <si>
    <t>P-DEFECT-CNS-2</t>
  </si>
  <si>
    <t>P-MET-SET-3</t>
  </si>
  <si>
    <t>P-MET-EX-3</t>
  </si>
  <si>
    <t>P-ROLE-SC-3</t>
  </si>
  <si>
    <t>P-ROLE-RESP-3</t>
  </si>
  <si>
    <t>T-ADI-DEP-2</t>
  </si>
  <si>
    <t>T-ADI-ART-2</t>
  </si>
  <si>
    <t>T-DEV-SM-3</t>
  </si>
  <si>
    <t>T-DEV-BLD-2</t>
  </si>
  <si>
    <t>T-DEV-SCM-2</t>
  </si>
  <si>
    <t>T-DEV-SRC-2</t>
  </si>
  <si>
    <t>T-DEV-CICD-2</t>
  </si>
  <si>
    <t>T-CODE-SST-2</t>
  </si>
  <si>
    <t>T-CODE-IMG-3</t>
  </si>
  <si>
    <t>T-CODE-SECDN-3</t>
  </si>
  <si>
    <t>T-PREPROD-DAST-1</t>
  </si>
  <si>
    <t>T-PREPROD-MANSEC-2</t>
  </si>
  <si>
    <t>T-PROD-SM-3</t>
  </si>
  <si>
    <t>T-PROD-PENTEST-2</t>
  </si>
  <si>
    <t>T-PROD-ACCESS-2</t>
  </si>
  <si>
    <t>T-PROD-NETWORK-3</t>
  </si>
  <si>
    <t>T-PROD-VULN-2</t>
  </si>
  <si>
    <t>T-PROD-EVENTS-3</t>
  </si>
  <si>
    <t>P-EDU-AWR-2</t>
  </si>
  <si>
    <t>P-EDU-KB-2</t>
  </si>
  <si>
    <t>P-REQ-TM-2</t>
  </si>
  <si>
    <t>P-REQ-STDR-Infr-3</t>
  </si>
  <si>
    <t>P-DEFECT-MNG-2</t>
  </si>
  <si>
    <t>P-DEFECT-CNS-1</t>
  </si>
  <si>
    <t>P-MET-SET-2</t>
  </si>
  <si>
    <t>P-MET-EX-2</t>
  </si>
  <si>
    <t>P-ROLE-SC-2</t>
  </si>
  <si>
    <t>P-ROLE-RESP-2</t>
  </si>
  <si>
    <t>T-ADI-DEP-1</t>
  </si>
  <si>
    <t>T-DEV-COMP-2</t>
  </si>
  <si>
    <t>T-DEV-SM-2</t>
  </si>
  <si>
    <t>T-DEV-BLD-1</t>
  </si>
  <si>
    <t>T-DEV-SCM-1</t>
  </si>
  <si>
    <t>T-CODE-SST-1</t>
  </si>
  <si>
    <t>T-CODE-SC-2</t>
  </si>
  <si>
    <t>T-CODE-IMG-2</t>
  </si>
  <si>
    <t>T-CODE-SECDN-2</t>
  </si>
  <si>
    <t>T-CODE-DOCKERFS-2</t>
  </si>
  <si>
    <t>T-PREPROD-PENTEST-2</t>
  </si>
  <si>
    <t>T-PREPROD-SECTEST-2</t>
  </si>
  <si>
    <t>T-PREPROD-MANSEC-1</t>
  </si>
  <si>
    <t>T-PROD-SM-2</t>
  </si>
  <si>
    <t>T-PROD-PENTEST-1</t>
  </si>
  <si>
    <t>T-PROD-NETWORK-2</t>
  </si>
  <si>
    <t>T-PROD-RUN-2</t>
  </si>
  <si>
    <t>T-PROD-VULN-1</t>
  </si>
  <si>
    <t>T-PROD-EVENTS-2</t>
  </si>
  <si>
    <t>P-REQ-TM-1</t>
  </si>
  <si>
    <t>P-REQ-RD-2</t>
  </si>
  <si>
    <t>P-REQ-CR-2</t>
  </si>
  <si>
    <t>P-REQ-STDR-Infr-2</t>
  </si>
  <si>
    <t>P-DEFECT-MNG-1</t>
  </si>
  <si>
    <t>T-ADI-ART-1</t>
  </si>
  <si>
    <t>T-DEV-COMP-1</t>
  </si>
  <si>
    <t>T-DEV-SM-1</t>
  </si>
  <si>
    <t>T-DEV-SRC-1</t>
  </si>
  <si>
    <t>T-DEV-CICD-1</t>
  </si>
  <si>
    <t>T-CODE-SC-1</t>
  </si>
  <si>
    <t>T-CODE-IMG-1</t>
  </si>
  <si>
    <t>T-CODE-SECDN-1</t>
  </si>
  <si>
    <t>T-CODE-DOCKERFS-1</t>
  </si>
  <si>
    <t>T-PREPROD-PENTEST-1</t>
  </si>
  <si>
    <t>T-PREPROD-SECTEST-1</t>
  </si>
  <si>
    <t>T-PROD-SM-1</t>
  </si>
  <si>
    <t>T-PROD-ACCESS-1</t>
  </si>
  <si>
    <t>T-PROD-NETWORK-1</t>
  </si>
  <si>
    <t>P-EDU-AWR-1</t>
  </si>
  <si>
    <t>P-EDU-KB-1</t>
  </si>
  <si>
    <t>P-REQ-RD-1</t>
  </si>
  <si>
    <t>P-REQ-CR-1</t>
  </si>
  <si>
    <t>P-REQ-STDR-Infr-1</t>
  </si>
  <si>
    <t>P-ROLE-SC-1</t>
  </si>
  <si>
    <t>P-ROLE-RESP-1</t>
  </si>
  <si>
    <t>T-ADI-DEP-0</t>
  </si>
  <si>
    <t>T-ADI-ART-0</t>
  </si>
  <si>
    <t>T-DEV-COMP-0</t>
  </si>
  <si>
    <t>T-DEV-SM-0</t>
  </si>
  <si>
    <t>T-DEV-BLD-0</t>
  </si>
  <si>
    <t>T-DEV-SCM-0</t>
  </si>
  <si>
    <t>T-DEV-SRC-0</t>
  </si>
  <si>
    <t>T-DEV-CICD-0</t>
  </si>
  <si>
    <t>T-CODE-SST-0</t>
  </si>
  <si>
    <t>T-CODE-SC-0</t>
  </si>
  <si>
    <t>T-CODE-IMG-0</t>
  </si>
  <si>
    <t>T-CODE-SECDN-0</t>
  </si>
  <si>
    <t>T-CODE-DOCKERFS-0</t>
  </si>
  <si>
    <t>T-PREPROD-DAST-0</t>
  </si>
  <si>
    <t>T-PREPROD-PENTEST-0</t>
  </si>
  <si>
    <t>T-PREPROD-SECTEST-0</t>
  </si>
  <si>
    <t>T-PREPROD-MANSEC-0</t>
  </si>
  <si>
    <t>T-PROD-SM-0</t>
  </si>
  <si>
    <t>T-PROD-PENTEST-0</t>
  </si>
  <si>
    <t>T-PROD-ACCESS-0</t>
  </si>
  <si>
    <t>T-PROD-NETWORK-0</t>
  </si>
  <si>
    <t>T-PROD-RUN-0</t>
  </si>
  <si>
    <t>T-PROD-VULN-0</t>
  </si>
  <si>
    <t>T-PROD-EVENTS-0</t>
  </si>
  <si>
    <t>P-EDU-AWR-0</t>
  </si>
  <si>
    <t>P-EDU-KB-0</t>
  </si>
  <si>
    <t>P-REQ-TM-0</t>
  </si>
  <si>
    <t>P-REQ-RD-0</t>
  </si>
  <si>
    <t>P-REQ-CR-0</t>
  </si>
  <si>
    <t>P-REQ-STDR-App-0</t>
  </si>
  <si>
    <t>P-REQ-STDR-Infr-0</t>
  </si>
  <si>
    <t>P-DEFECT-MNG-0</t>
  </si>
  <si>
    <t>P-DEFECT-CNS-0</t>
  </si>
  <si>
    <t>P-MET-SET-0</t>
  </si>
  <si>
    <t>P-MET-EX-0</t>
  </si>
  <si>
    <t>P-ROLE-SC-0</t>
  </si>
  <si>
    <t>P-ROLE-RESP-0</t>
  </si>
  <si>
    <t>T-ADI-DEP-4</t>
  </si>
  <si>
    <t>T-ADI-ART-4</t>
  </si>
  <si>
    <t>T-DEV-BLD-4</t>
  </si>
  <si>
    <t>T-PREPROD-PENTEST-4</t>
  </si>
  <si>
    <t>T-PREPROD-VULN-0</t>
  </si>
  <si>
    <t>T-PREPROD-VULN-1</t>
  </si>
  <si>
    <t>T-PREPROD-VULN-2</t>
  </si>
  <si>
    <t>T-PREPROD-VULN-3</t>
  </si>
  <si>
    <t>T-PREPROD-VULN-4</t>
  </si>
  <si>
    <t>T-PROD-DAST-0</t>
  </si>
  <si>
    <t>T-PROD-DAST-1</t>
  </si>
  <si>
    <t>T-PROD-DAST-2</t>
  </si>
  <si>
    <t>T-PROD-DAST-3</t>
  </si>
  <si>
    <t>T-PROD-DAST-4</t>
  </si>
  <si>
    <t>T-PROD-PENTEST-3</t>
  </si>
  <si>
    <t>T-PROD-PENTEST-4</t>
  </si>
  <si>
    <t>T-PROD-RUN-1</t>
  </si>
  <si>
    <t>P-REQ-STDR-App-1</t>
  </si>
  <si>
    <t>P-REQ-STDR-App-2</t>
  </si>
  <si>
    <t>P-REQ-STDR-App-3</t>
  </si>
  <si>
    <t>P-REQ-STDR-App-4</t>
  </si>
  <si>
    <t>Governance</t>
  </si>
  <si>
    <t>Design</t>
  </si>
  <si>
    <t>Implementation</t>
  </si>
  <si>
    <t>Verification</t>
  </si>
  <si>
    <t>Operations</t>
  </si>
  <si>
    <t>Threat Assessment</t>
  </si>
  <si>
    <t>Secure Build</t>
  </si>
  <si>
    <t>Policy &amp; Compliance</t>
  </si>
  <si>
    <t>Secure Deployment</t>
  </si>
  <si>
    <t>Defect Management</t>
  </si>
  <si>
    <t>Security Testing</t>
  </si>
  <si>
    <t>SR1.5</t>
  </si>
  <si>
    <t>SR1.5
SE3.6</t>
  </si>
  <si>
    <t>CMVM1.1</t>
  </si>
  <si>
    <t>SM3.4</t>
  </si>
  <si>
    <t>SM3.5</t>
  </si>
  <si>
    <t>CR3.2</t>
  </si>
  <si>
    <t>CMVM3.4</t>
  </si>
  <si>
    <t>PT3.1
CMVM3.3</t>
  </si>
  <si>
    <t>CMVM3.5</t>
  </si>
  <si>
    <t>SE3.3
CMVM1.1</t>
  </si>
  <si>
    <t>T1.1
T2.9</t>
  </si>
  <si>
    <t>T2.12</t>
  </si>
  <si>
    <t>SR1.1
SR1.2</t>
  </si>
  <si>
    <t>AA1.4</t>
  </si>
  <si>
    <t>AA1.1</t>
  </si>
  <si>
    <t>AM2.1</t>
  </si>
  <si>
    <t>SFD1.2</t>
  </si>
  <si>
    <t>CP2.3</t>
  </si>
  <si>
    <t>SM1.4
SM2.2</t>
  </si>
  <si>
    <t>SM1.4</t>
  </si>
  <si>
    <t>PT1.2
CMVM1.3
CMVM3.1</t>
  </si>
  <si>
    <t>SM3.1</t>
  </si>
  <si>
    <t>SM3.1
CR2.8</t>
  </si>
  <si>
    <t>Т1.8</t>
  </si>
  <si>
    <t>OM-B-2</t>
  </si>
  <si>
    <t>SB-B-3</t>
  </si>
  <si>
    <t>SB-A-2</t>
  </si>
  <si>
    <t>SB-A-3</t>
  </si>
  <si>
    <t>SD-B-1</t>
  </si>
  <si>
    <t>SD-B-3</t>
  </si>
  <si>
    <t>SB-A-1
SB-A-2</t>
  </si>
  <si>
    <t>ST-A-1</t>
  </si>
  <si>
    <t>ST-A-3</t>
  </si>
  <si>
    <t>ST-A-2</t>
  </si>
  <si>
    <t>IM-A-2</t>
  </si>
  <si>
    <t>IM-B-2</t>
  </si>
  <si>
    <t>SD-B-2</t>
  </si>
  <si>
    <t>ST-B-2</t>
  </si>
  <si>
    <t>ST-B-1</t>
  </si>
  <si>
    <t>RT-A-1</t>
  </si>
  <si>
    <t>RT-B-2</t>
  </si>
  <si>
    <t>Secret Management</t>
  </si>
  <si>
    <t xml:space="preserve">SB-B-2 </t>
  </si>
  <si>
    <t>EM-A-1</t>
  </si>
  <si>
    <t>SB-A-1</t>
  </si>
  <si>
    <t xml:space="preserve">IM-A-2 </t>
  </si>
  <si>
    <t>OM-B-1</t>
  </si>
  <si>
    <t>RT-A-3</t>
  </si>
  <si>
    <t>DM-A-2</t>
  </si>
  <si>
    <t xml:space="preserve">ST-B-2 </t>
  </si>
  <si>
    <t>EM-B-2</t>
  </si>
  <si>
    <t>EM-B-3</t>
  </si>
  <si>
    <t>OM-B-3</t>
  </si>
  <si>
    <t>EM-A-3</t>
  </si>
  <si>
    <t>EG-A-2</t>
  </si>
  <si>
    <t>EG-A-1</t>
  </si>
  <si>
    <t>EG-A-3</t>
  </si>
  <si>
    <t>EG-B-3</t>
  </si>
  <si>
    <t>TA-B-3</t>
  </si>
  <si>
    <t xml:space="preserve">RT-B-2 </t>
  </si>
  <si>
    <t xml:space="preserve">SR-A-2 </t>
  </si>
  <si>
    <r>
      <t xml:space="preserve">SR-A-2 </t>
    </r>
    <r>
      <rPr>
        <sz val="11"/>
        <color rgb="FFFF0000"/>
        <rFont val="Calibri"/>
        <family val="2"/>
        <charset val="204"/>
        <scheme val="minor"/>
      </rPr>
      <t/>
    </r>
  </si>
  <si>
    <t>AA-A-1</t>
  </si>
  <si>
    <t>EM-A-2</t>
  </si>
  <si>
    <t>DM-A-3</t>
  </si>
  <si>
    <t>EG-B-1</t>
  </si>
  <si>
    <t xml:space="preserve">EG-B-1 </t>
  </si>
  <si>
    <t>EG-B-2</t>
  </si>
  <si>
    <t>T-CODE-SPC-0-1</t>
  </si>
  <si>
    <t>T-CODE-SPC-1-1</t>
  </si>
  <si>
    <t>T-CODE-SPC-1-2</t>
  </si>
  <si>
    <t>T-CODE-SPC-2-1</t>
  </si>
  <si>
    <t>T-CODE-SPC-2-2</t>
  </si>
  <si>
    <t>T-CODE-SPC-2-3</t>
  </si>
  <si>
    <t>T-CODE-SPC-3-1</t>
  </si>
  <si>
    <t>T-CODE-SPC-3-2</t>
  </si>
  <si>
    <t>T-CODE-SPC-2-4</t>
  </si>
  <si>
    <t>T-CODE-SPC-3-3</t>
  </si>
  <si>
    <t>T-CODE-SPC-4-1</t>
  </si>
  <si>
    <t>T-CODE-SPC-3-4</t>
  </si>
  <si>
    <t>T-CODE-SPC-3-5</t>
  </si>
  <si>
    <t>T-CODE-SPC-1</t>
  </si>
  <si>
    <t>T-CODE-SPC-0</t>
  </si>
  <si>
    <t>T-CODE-SPC-2</t>
  </si>
  <si>
    <t>T-CODE-SPC-3</t>
  </si>
  <si>
    <t>T-CODE-SPC-4</t>
  </si>
  <si>
    <t>T-CODE-SPC</t>
  </si>
  <si>
    <t>T-DEV-CICD-1-4</t>
  </si>
  <si>
    <t>T-DEV-CICD-1-5</t>
  </si>
  <si>
    <t>T-DEV-SRC-3-6</t>
  </si>
  <si>
    <t>T-DEV-SCM-4-3</t>
  </si>
  <si>
    <t>T-PROD-SM-4-3</t>
  </si>
  <si>
    <t>P-EDU-KB-3-3</t>
  </si>
  <si>
    <t>P-EDU-KB-4-2</t>
  </si>
  <si>
    <t>P-REQ-RD-4-1</t>
  </si>
  <si>
    <t>P-ROLE-RESP-3-2</t>
  </si>
  <si>
    <t>Strategy&amp;Metrics</t>
  </si>
  <si>
    <t>Create and Promote</t>
  </si>
  <si>
    <t>Do you understand the enterprise-wide risk appetite for your applications?</t>
  </si>
  <si>
    <t>Do you have a strategic plan for application security and use it to make decisions?</t>
  </si>
  <si>
    <t>Do you regularly review and update the Strategic Plan for Application Security?</t>
  </si>
  <si>
    <t>Measure and Improve</t>
  </si>
  <si>
    <t>Do you use a set of metrics to measure the effectiveness and efficiency of the application security program across applications?</t>
  </si>
  <si>
    <t>Did you define Key Performance Indicators (KPI) from available application security metrics?</t>
  </si>
  <si>
    <t>Do you update the Application Security strategy and roadmap based on application security metrics and KPIs?</t>
  </si>
  <si>
    <t>Policy and Standards</t>
  </si>
  <si>
    <t>Do you have and apply a common set of policies and standards throughout your organization?</t>
  </si>
  <si>
    <t>Do you publish the organization's policies as test scripts or run-books for easy interpretation by development teams?</t>
  </si>
  <si>
    <t>Do you regularly report on policy and standard compliance, and use that information to guide compliance improvement efforts?</t>
  </si>
  <si>
    <t>Compliance Management</t>
  </si>
  <si>
    <t>Do you have a complete picture of your external compliance obligations?</t>
  </si>
  <si>
    <t>Do you have a standard set of security requirements and verification procedures addressing the organization's external compliance obligations?</t>
  </si>
  <si>
    <t>Do you regularly report on adherence to external compliance obligations and use that information to guide efforts to close compliance gaps?</t>
  </si>
  <si>
    <t>Education &amp; Guidance</t>
  </si>
  <si>
    <t>Training and Awareness</t>
  </si>
  <si>
    <t>Do you require employees involved with application development to take SDLC training?</t>
  </si>
  <si>
    <t>Is training customized for individual roles such as developers, testers, or security champions?</t>
  </si>
  <si>
    <t>Have you implemented a Learning Management System or equivalent to track employee training and certification processes?</t>
  </si>
  <si>
    <t>Organization and Culture</t>
  </si>
  <si>
    <t>Have you identified a Security Champion for each development team?</t>
  </si>
  <si>
    <t>Does the organization have a Secure Software Center of Excellence (SSCE)?</t>
  </si>
  <si>
    <t>Is there a centralized portal where developers and application security professionals from different teams and business units are able to communicate and share information?</t>
  </si>
  <si>
    <t>Application Risk Profile</t>
  </si>
  <si>
    <t>Do you classify applications according to business risk based on a simple and predefined set of questions?</t>
  </si>
  <si>
    <t>Do you use centralized and quantified application risk profiles to evaluate business risk?</t>
  </si>
  <si>
    <t>Do you regularly review and update the risk profiles for your applications?</t>
  </si>
  <si>
    <t>Threat Modeling</t>
  </si>
  <si>
    <t>Do you identify and manage architectural design flaws with threat modeling?</t>
  </si>
  <si>
    <t>Do you use a standard methodology, aligned with your application risk levels?</t>
  </si>
  <si>
    <t>Do you regularly review and update the threat modeling methodology for your applications?</t>
  </si>
  <si>
    <t>Security Requirements</t>
  </si>
  <si>
    <t>Software Requirements</t>
  </si>
  <si>
    <t>Do project teams specify security requirements during development?</t>
  </si>
  <si>
    <t>Do you define, structure, and include prioritization in the artifacts of the security requirements gathering process?</t>
  </si>
  <si>
    <t>Do you use a standard requirements framework to streamline the elicitation of security requirements?</t>
  </si>
  <si>
    <t>Supplier Security</t>
  </si>
  <si>
    <t>Do stakeholders review vendor collaborations for security requirements and methodology?</t>
  </si>
  <si>
    <t>Do vendors meet the security responsibilities and quality measures of service level agreements defined by the organization?</t>
  </si>
  <si>
    <t>Are vendors aligned with standard security controls and software development tools and processes that the organization utilizes?</t>
  </si>
  <si>
    <t>Secure Architecture</t>
  </si>
  <si>
    <t>Architecture Design</t>
  </si>
  <si>
    <t>Do teams use security principles during design?</t>
  </si>
  <si>
    <t>Do you use shared security services during design?</t>
  </si>
  <si>
    <t>Do you base your design on available reference architectures?</t>
  </si>
  <si>
    <t>Technology Management</t>
  </si>
  <si>
    <t>Do you evaluate the security quality of important technologies used for development?</t>
  </si>
  <si>
    <t>Do you have a list of recommended technologies for the organization?</t>
  </si>
  <si>
    <t>Do you enforce the use of recommended technologies within the organization?</t>
  </si>
  <si>
    <t>Is the build process fully automated?</t>
  </si>
  <si>
    <t>Do you enforce automated security checks in your build processes?</t>
  </si>
  <si>
    <t>Software Dependencies</t>
  </si>
  <si>
    <t>Do you have solid knowledge about dependencies you're relying on?</t>
  </si>
  <si>
    <t>Do you handle 3rd party dependency risk by a formal process?</t>
  </si>
  <si>
    <t>Do you prevent build of software if it's affected by vulnerabilities in dependencies?</t>
  </si>
  <si>
    <t>Deployment Process</t>
  </si>
  <si>
    <t>Do you use repeatable deployment processes?</t>
  </si>
  <si>
    <t>Are deployment processes automated and employing security checks?</t>
  </si>
  <si>
    <t>Do you consistently validate the integrity of deployed artifacts?</t>
  </si>
  <si>
    <t>Do you limit access to application secrets according to the least privilege principle?</t>
  </si>
  <si>
    <t>Do you inject production secrets into configuration files during deployment?</t>
  </si>
  <si>
    <t>Do you practice proper lifecycle management for application secrets?</t>
  </si>
  <si>
    <t>Defect Tracking</t>
  </si>
  <si>
    <t>Do you track all known security defects in accessible locations?</t>
  </si>
  <si>
    <t>Do you keep an overview of the state of security defects across the organization?</t>
  </si>
  <si>
    <t>Do you enforce SLAs for fixing security defects?</t>
  </si>
  <si>
    <t>Metrics and Feedback</t>
  </si>
  <si>
    <t>Do you use basic metrics about recorded security defects to carry out quick win improvement activities?</t>
  </si>
  <si>
    <t>Do you improve your security assurance program upon standardized metrics?</t>
  </si>
  <si>
    <t>Do you regularly evaluate the effectiveness of your security metrics so that its input helps drive your security strategy?</t>
  </si>
  <si>
    <t>Architecture Assessment</t>
  </si>
  <si>
    <t>Architecture Validation</t>
  </si>
  <si>
    <t>Do you review the application architecture for key security objectives on an ad-hoc basis?</t>
  </si>
  <si>
    <t>Do you regularly review the security mechanisms of your architecture?</t>
  </si>
  <si>
    <t>Do you regularly review the effectiveness of the security controls?</t>
  </si>
  <si>
    <t>Architecture Mitigation</t>
  </si>
  <si>
    <t>Do you review the application architecture for mitigations of typical threats on an ad-hoc basis?</t>
  </si>
  <si>
    <t>Do you regularly evaluate the threats to your architecture?</t>
  </si>
  <si>
    <t>Do you regularly update your reference architectures based on architecture assessment findings?</t>
  </si>
  <si>
    <t>Requirements Testing</t>
  </si>
  <si>
    <t>Control Verification</t>
  </si>
  <si>
    <t>Do you test applications for the correct functioning of standard security controls?</t>
  </si>
  <si>
    <t>Do you consistently write and execute test scripts to verify the functionality of security requirements?</t>
  </si>
  <si>
    <t>Do you automatically test applications for security regressions?</t>
  </si>
  <si>
    <t>Misuse/Abuse Testing</t>
  </si>
  <si>
    <t>Do you test applications using randomization or fuzzing techniques?</t>
  </si>
  <si>
    <t>Do you create abuse cases from functional requirements and use them to drive security tests?</t>
  </si>
  <si>
    <t>Do you perform denial of service and security stress testing?</t>
  </si>
  <si>
    <t>Scalable Baseline</t>
  </si>
  <si>
    <t>Do you scan applications with automated security testing tools?</t>
  </si>
  <si>
    <t>Do you customize the automated security tools to your applications and technology stacks?</t>
  </si>
  <si>
    <t>Do you integrate automated security testing into the build and deploy process?</t>
  </si>
  <si>
    <t>Deep Understanding</t>
  </si>
  <si>
    <t>Do you manually review the security quality of selected high-risk components?</t>
  </si>
  <si>
    <t>Do you perform penetration testing for your applications at regular intervals?</t>
  </si>
  <si>
    <t>Do you use the results of security testing to improve the development lifecycle?</t>
  </si>
  <si>
    <t>Incident Management</t>
  </si>
  <si>
    <t>Incident Detection</t>
  </si>
  <si>
    <t>Do you analyze log data for security incidents periodically?</t>
  </si>
  <si>
    <t>Do you follow a documented process for incident detection?</t>
  </si>
  <si>
    <t>Do you review and update the incident detection process regularly?</t>
  </si>
  <si>
    <t>Incident Response</t>
  </si>
  <si>
    <t>Do you respond to detected incidents?</t>
  </si>
  <si>
    <t>Do you use a repeatable process for incident handling?</t>
  </si>
  <si>
    <t>Do you have a dedicated incident response team available?</t>
  </si>
  <si>
    <t>Environment Management</t>
  </si>
  <si>
    <t>Configuration Hardening</t>
  </si>
  <si>
    <t>Do you harden configurations for key components of your technology stacks?</t>
  </si>
  <si>
    <t>Do you have hardening baselines for your components?</t>
  </si>
  <si>
    <t>Do you monitor and enforce conformity with hardening baselines?</t>
  </si>
  <si>
    <t>Patching and Updating</t>
  </si>
  <si>
    <t>Do you identify and patch vulnerable components?</t>
  </si>
  <si>
    <t>Do you follow an established process for updating components of your technology stacks?</t>
  </si>
  <si>
    <t>Do you regularly evaluate components and review patch level status?</t>
  </si>
  <si>
    <t>Operational Management</t>
  </si>
  <si>
    <t>Data Protection</t>
  </si>
  <si>
    <t>Do you protect and handle information according to protection requirements for data stored and processed on each application?</t>
  </si>
  <si>
    <t>Do you maintain a data catalog, including types, sensitivity levels, and processing and storage locations?</t>
  </si>
  <si>
    <t>Do you regularly review and update the data catalog and your data protection policies and procedures?</t>
  </si>
  <si>
    <t>System Decommissioning / Legacy Management</t>
  </si>
  <si>
    <t>Do you identify and remove systems, applications, application dependencies, or services that are no longer used, have reached end of life, or are no longer actively developed or supported?</t>
  </si>
  <si>
    <t>Do you follow an established process for removing all associated resources, as part of decommissioning of unused systems, applications, application dependencies, or services?</t>
  </si>
  <si>
    <t>Do you regularly evaluate the lifecycle state and support status of every software asset and underlying infrastructure component, and estimate their end of life?</t>
  </si>
  <si>
    <t>T-CODE-SECDN-3-3</t>
  </si>
  <si>
    <t>OWASP SAMMv2</t>
  </si>
  <si>
    <t>BSIMM v14</t>
  </si>
  <si>
    <t>PC-B-1</t>
  </si>
  <si>
    <t>PC-B-2</t>
  </si>
  <si>
    <t>PC-B-3</t>
  </si>
  <si>
    <t>TA-A-3</t>
  </si>
  <si>
    <t>DM-A-1</t>
  </si>
  <si>
    <t>DM-B-1</t>
  </si>
  <si>
    <t>DM-B-2</t>
  </si>
  <si>
    <t>DM-B-3</t>
  </si>
  <si>
    <t>AA-A-2</t>
  </si>
  <si>
    <t>AA-A-3</t>
  </si>
  <si>
    <t>AA-B-1</t>
  </si>
  <si>
    <t>AA-B-2</t>
  </si>
  <si>
    <t>AA-B-3</t>
  </si>
  <si>
    <t>OM-A-3</t>
  </si>
  <si>
    <t>OM-A-2</t>
  </si>
  <si>
    <t>OM-A-1</t>
  </si>
  <si>
    <t>EM-B-1</t>
  </si>
  <si>
    <t>IM-A-1</t>
  </si>
  <si>
    <t>IM-A-3</t>
  </si>
  <si>
    <t>IM-B-1</t>
  </si>
  <si>
    <t>IM-B-3</t>
  </si>
  <si>
    <t>ST-B-3</t>
  </si>
  <si>
    <t>RT-A-2</t>
  </si>
  <si>
    <t>RT-B-1</t>
  </si>
  <si>
    <t>RT-B-3</t>
  </si>
  <si>
    <t>OM-B-1
OM-B-2
SB-B-2</t>
  </si>
  <si>
    <t>RT-B-2
ST-B-2</t>
  </si>
  <si>
    <t>SD-A-2
SB-A-3</t>
  </si>
  <si>
    <t>Dimension</t>
  </si>
  <si>
    <t>Sub Dimension</t>
  </si>
  <si>
    <t>Activity</t>
  </si>
  <si>
    <t>UUID</t>
  </si>
  <si>
    <t>Build and Deployment</t>
  </si>
  <si>
    <t>Build</t>
  </si>
  <si>
    <t>Building and testing of artifacts in virtual environments</t>
  </si>
  <si>
    <t>a340f46b-6360-4cb8-847b-a0d3483d09d3</t>
  </si>
  <si>
    <t>Pinning of artifacts</t>
  </si>
  <si>
    <t>f3c4971e-9f4d-4e59-8ed0-f0bdb6262477</t>
  </si>
  <si>
    <t>Defined build process</t>
  </si>
  <si>
    <t>f6f7737f-25a9-4317-8de2-09bf59f29b5b</t>
  </si>
  <si>
    <t>SBOM of components</t>
  </si>
  <si>
    <t>2858ac12-0179-40d9-9acf-1b839c030473</t>
  </si>
  <si>
    <t>Signing of artifacts</t>
  </si>
  <si>
    <t>5786959d-0c6f-46a6-8e1c-a32ff1a50222</t>
  </si>
  <si>
    <t>Signing of code</t>
  </si>
  <si>
    <t>9f107927-61e9-4574-85ad-3f2b4bca8665</t>
  </si>
  <si>
    <t>Deployment</t>
  </si>
  <si>
    <t>Environment depending configuration parameters (secrets)</t>
  </si>
  <si>
    <t>df428c9d-efa0-4226-9f47-a15bb53f822b</t>
  </si>
  <si>
    <t>Evaluation of the trust of used components</t>
  </si>
  <si>
    <t>0de465a6-55a7-4343-af79-948bb5ff10ba</t>
  </si>
  <si>
    <t>Patch Management</t>
  </si>
  <si>
    <t>A patch policy is defined</t>
  </si>
  <si>
    <t>99415139-6b50-441b-89e1-0aa59accd43d</t>
  </si>
  <si>
    <t>Automated PRs for patches</t>
  </si>
  <si>
    <t>8ae0b92c-10e0-4602-ba22-7524d6aed488</t>
  </si>
  <si>
    <t>Rolling update on deployment</t>
  </si>
  <si>
    <t>85d52588-f542-4225-a338-20dc22a5508d</t>
  </si>
  <si>
    <t>Reduction of the attack surface</t>
  </si>
  <si>
    <t>16e39c8f-5336-4001-88ed-a552d2447531</t>
  </si>
  <si>
    <t>Handover of confidential parameters</t>
  </si>
  <si>
    <t>94a96f79-8bd6-4904-97c0-994ff88f176a</t>
  </si>
  <si>
    <t>Automated deployment of automated PRs</t>
  </si>
  <si>
    <t>08f27c26-2c6a-47fe-9458-5e88f188085d</t>
  </si>
  <si>
    <t>Automated merge of automated PRs</t>
  </si>
  <si>
    <t>f2594f8f-1cd6-45f9-af29-eaf3315698eb</t>
  </si>
  <si>
    <t>Nightly build of images (base images)</t>
  </si>
  <si>
    <t>34869eaf-f2e1-4926-b0bd-28c43402f057</t>
  </si>
  <si>
    <t>Usage of a maximum lifetime for images</t>
  </si>
  <si>
    <t>485a3383-7f2e-4dba-bb84-479377070904</t>
  </si>
  <si>
    <t>Usage of a short maximum lifetime for images</t>
  </si>
  <si>
    <t>6b96e5a0-ce34-4ea4-a88f-469d3b84546e</t>
  </si>
  <si>
    <t>Same artifact for environments</t>
  </si>
  <si>
    <t>a854b48d-83bd-4f8d-8621-a0bdd470837f</t>
  </si>
  <si>
    <t>Usage of feature toggles</t>
  </si>
  <si>
    <t>a511799b-045e-4b96-9843-7d63d8c1e2ad</t>
  </si>
  <si>
    <t>Blue/Green Deployment</t>
  </si>
  <si>
    <t>0cb2626b-fb0d-4a0f-9688-57f787310d97</t>
  </si>
  <si>
    <t>Defined deployment process</t>
  </si>
  <si>
    <t>74938a3f-1269-49b9-9d0f-c43a79a1985a</t>
  </si>
  <si>
    <t>Defined decommissioning process</t>
  </si>
  <si>
    <t>da4ff665-dcb9-4e93-9d20-48cdedc50fc2</t>
  </si>
  <si>
    <t>Inventory of production artifacts</t>
  </si>
  <si>
    <t>83057028-0b77-4d2e-8135-40969768ae88</t>
  </si>
  <si>
    <t>Inventory of production components</t>
  </si>
  <si>
    <t>2a44b708-734f-4463-b0cb-86dc46344b2f</t>
  </si>
  <si>
    <t>Inventory of production dependencies</t>
  </si>
  <si>
    <t>13e9757e-58e2-4277-bc0f-eadc674891e6</t>
  </si>
  <si>
    <t>Culture and Organization</t>
  </si>
  <si>
    <t>Conduction of simple threat modeling on technical level</t>
  </si>
  <si>
    <t>47419324-e263-415b-815d-e7161b6b905e</t>
  </si>
  <si>
    <t>Creation of advanced abuse stories</t>
  </si>
  <si>
    <t>0a929c3e-ab9a-4206-8761-adf84b74622e</t>
  </si>
  <si>
    <t>Creation of simple abuse stories</t>
  </si>
  <si>
    <t>bacf85b6-5bc0-405d-b5ba-a5d971467cc1</t>
  </si>
  <si>
    <t>Creation of threat modeling processes and standards</t>
  </si>
  <si>
    <t>dd5ed7c1-bdbf-400f-b75f-6d3953a1a04e</t>
  </si>
  <si>
    <t>Education and Guidance</t>
  </si>
  <si>
    <t>Conduction of collaborative security checks with developers and system administrators</t>
  </si>
  <si>
    <t>95caef96-36ed-458c-a087-5c35d4f9dec2</t>
  </si>
  <si>
    <t>Security code review</t>
  </si>
  <si>
    <t>7121b0c7-6ace-4d6b-95d0-94535dbccb57</t>
  </si>
  <si>
    <t>Ad-Hoc Security trainings for software developers</t>
  </si>
  <si>
    <t>12c90cc6-3d58-4d9b-82ff-d469d2a0c298</t>
  </si>
  <si>
    <t>Conduction of build-it, break-it, fix-it contests</t>
  </si>
  <si>
    <t>bfdb576e-a416-4ec6-96fe-a078d58b2ff8</t>
  </si>
  <si>
    <t>Office Hours</t>
  </si>
  <si>
    <t>185d5a74-19dc-4422-be07-44ea35226783</t>
  </si>
  <si>
    <t>Regular security training for all</t>
  </si>
  <si>
    <t>9768f154-357a-4c06-af6f-d66570677c9b</t>
  </si>
  <si>
    <t>Regular security training for externals</t>
  </si>
  <si>
    <t>31833d56-35af-4ef3-9300-f23d27646ce7</t>
  </si>
  <si>
    <t>Information security targets are communicated</t>
  </si>
  <si>
    <t>1b9281b9-48e2-4c01-9ac6-9db9931c4885</t>
  </si>
  <si>
    <t>Aligning security in teams</t>
  </si>
  <si>
    <t>f994a55d-71bb-45a4-a887-0a213d72c504</t>
  </si>
  <si>
    <t>Conduction of simple threat modeling on business level</t>
  </si>
  <si>
    <t>48f97f31-931c-46eb-9b3e-e2fec0cd0426</t>
  </si>
  <si>
    <t>Conduction of advanced threat modeling</t>
  </si>
  <si>
    <t>ae22dafd-bcd6-41ee-ba01-8b7fe6fc1ad9</t>
  </si>
  <si>
    <t>Simple mob hacking</t>
  </si>
  <si>
    <t>535f301a-e8e8-4eda-ad77-a08b035c92de</t>
  </si>
  <si>
    <t>Security Coaching</t>
  </si>
  <si>
    <t>f7b215dc-73a4-4c61-9e49-b3a3af1c9ac3</t>
  </si>
  <si>
    <t>Process</t>
  </si>
  <si>
    <t>Definition of simple BCDR practices for critical components</t>
  </si>
  <si>
    <t>c72da779-86cc-45b1-a339-190ce5093171</t>
  </si>
  <si>
    <t>Security-Lessoned-Learned</t>
  </si>
  <si>
    <t>58c46807-fee9-448b-b6dd-8050c464ab52</t>
  </si>
  <si>
    <t>Definition of a change management process</t>
  </si>
  <si>
    <t>b4193d32-3948-47e2-a326-3748c48019a1</t>
  </si>
  <si>
    <t>Conduction of collaborative team security checks</t>
  </si>
  <si>
    <t>35446784-7610-40d9-af9e-d43f3173bf8c</t>
  </si>
  <si>
    <t>Conduction of war games</t>
  </si>
  <si>
    <t>534f60bf-0995-4314-bb9c-f0f2bf204694</t>
  </si>
  <si>
    <t>Reward of good communication</t>
  </si>
  <si>
    <t>91b6f75b-9f4a-4d77-95a2-af7ad3222c7c</t>
  </si>
  <si>
    <t>Each team has a security champion</t>
  </si>
  <si>
    <t>6217fe11-5ed7-4cf4-9de4-555bcfa6fe87</t>
  </si>
  <si>
    <t>Regular security training of security champions</t>
  </si>
  <si>
    <t>f88d1b17-3d7d-4c3d-8139-ad44fc4942d4</t>
  </si>
  <si>
    <t>Approval by reviewing any new version</t>
  </si>
  <si>
    <t>3f63bdbc-c75f-4780-a941-e6ad42e894e1</t>
  </si>
  <si>
    <t>Security consulting on request</t>
  </si>
  <si>
    <t>0b28367b-75a0-4bae-a926-3725c1bf9bb0</t>
  </si>
  <si>
    <t>Infrastructure Hardening</t>
  </si>
  <si>
    <t>Limitation of system events</t>
  </si>
  <si>
    <t>e5386abf-9154-4752-a1a8-c3a8900f732d</t>
  </si>
  <si>
    <t>Microservice-architecture</t>
  </si>
  <si>
    <t>118b869b-3850-456e-98d9-1abdb85cbc5a</t>
  </si>
  <si>
    <t>Hardening of the Environment</t>
  </si>
  <si>
    <t>dcf9601b-b4f2-4e25-9143-e39af75f7c33</t>
  </si>
  <si>
    <t>Role based authentication and authorization</t>
  </si>
  <si>
    <t>070bb14b-e04a-4f3d-896a-a08eba7a35f9</t>
  </si>
  <si>
    <t>Simple access control for systems</t>
  </si>
  <si>
    <t>82e499d1-f463-4a4b-be90-68812a874af6</t>
  </si>
  <si>
    <t>MFA</t>
  </si>
  <si>
    <t>598e9f13-1ac8-4a01-b85e-8fab93ee81de</t>
  </si>
  <si>
    <t>MFA for admins</t>
  </si>
  <si>
    <t>8098e416-e1ed-4ae4-a561-83efbe76bf57</t>
  </si>
  <si>
    <t>Development and Source Control</t>
  </si>
  <si>
    <t>Local development linting &amp; style checks performed</t>
  </si>
  <si>
    <t>517b0957-4981-4ac0-b4c7-0d8d1934c474</t>
  </si>
  <si>
    <t>WAF Advanced</t>
  </si>
  <si>
    <t>f0e01814-3b88-4bd0-a3a9-f91db001d20b-advanced</t>
  </si>
  <si>
    <t>Block force pushes</t>
  </si>
  <si>
    <t>c7d99b18-c3e1-4d22-b2e3-9aa9146c0b17</t>
  </si>
  <si>
    <t>Dismiss stale PR approvals</t>
  </si>
  <si>
    <t>ea6f69f7-54a5-4922-ac15-a77ff0c16162</t>
  </si>
  <si>
    <t>Require a PR before merging</t>
  </si>
  <si>
    <t>e7598ac4-b082-4e56-b7df-e2c6b426a5e2</t>
  </si>
  <si>
    <t>Production near environments are used by developers</t>
  </si>
  <si>
    <t>e14de741-94b3-447c-8b07-eea947d82e61</t>
  </si>
  <si>
    <t>.gitignore</t>
  </si>
  <si>
    <t>363a3eea-baf9-4010-88ca-bb8186a2989d</t>
  </si>
  <si>
    <t>Require status checks to pass</t>
  </si>
  <si>
    <t>ac8730a2-ccc0-465c-9550-d91edae9d5ee</t>
  </si>
  <si>
    <t>Application Hardening</t>
  </si>
  <si>
    <t>App. Hardening Level 1</t>
  </si>
  <si>
    <t>cf819225-30cb-4702-8e32-60225eedc33d</t>
  </si>
  <si>
    <t>App. Hardening Level 1 (50%)</t>
  </si>
  <si>
    <t>b597928e-54d6-48a5-a806-8003dcd56aab</t>
  </si>
  <si>
    <t>App. Hardening Level 2</t>
  </si>
  <si>
    <t>ffe86caf-2fec-4630-b514-2db83983984d</t>
  </si>
  <si>
    <t>App. Hardening Level 2 (75%)</t>
  </si>
  <si>
    <t>03643ca2-03c2-472b-8e19-956bf02fe9b7</t>
  </si>
  <si>
    <t>App. Hardening Level 3</t>
  </si>
  <si>
    <t>4cae98c2-4163-44ed-bb88-3c67c569533a</t>
  </si>
  <si>
    <t>Containers are running as non-root</t>
  </si>
  <si>
    <t>a86c1fbc-28fd-4610-89a3-a7f73acfe45f</t>
  </si>
  <si>
    <t>Context-aware output encoding</t>
  </si>
  <si>
    <t>e1f37abb-d848-4a3a-b3df-65e91a89dcb7</t>
  </si>
  <si>
    <t>Parametrization</t>
  </si>
  <si>
    <t>00e91a8a-3972-4692-8679-674ab8547486</t>
  </si>
  <si>
    <t>Secure headers</t>
  </si>
  <si>
    <t>29318d60-18ce-4526-80ea-f5928e49f639</t>
  </si>
  <si>
    <t>Applications are running in virtualized environments</t>
  </si>
  <si>
    <t>3a94d55e-fd82-4996-9eb3-20d23ff2a873</t>
  </si>
  <si>
    <t>Versioning</t>
  </si>
  <si>
    <t>066084c6-1135-4635-9cc5-9e75c7c5459f</t>
  </si>
  <si>
    <t>Backup</t>
  </si>
  <si>
    <t>5c61fd6b-8106-4c68-ac28-a8a42f1c67dc</t>
  </si>
  <si>
    <t>Immutable infrastructure</t>
  </si>
  <si>
    <t>48e92bb1-fdba-40e8-b6c2-35de0d431833</t>
  </si>
  <si>
    <t>Usage of a chaos monkey</t>
  </si>
  <si>
    <t>f8e80f18-2503-4e3e-b3bc-7f67bb28defe</t>
  </si>
  <si>
    <t>Baseline Hardening of the environment</t>
  </si>
  <si>
    <t>5992c38c-8597-4035-89db-d15820d81c3a</t>
  </si>
  <si>
    <t>Filter outgoing traffic</t>
  </si>
  <si>
    <t>6df508ef-86fc-4c22-bd9f-646c3127ce7d</t>
  </si>
  <si>
    <t>Isolated networks for virtual environments</t>
  </si>
  <si>
    <t>4ce24abd-8ba6-494c-828d-4d193e28e4a1</t>
  </si>
  <si>
    <t>Infrastructure as Code</t>
  </si>
  <si>
    <t>8b994601-575e-4ea5-b228-accb18c8e514</t>
  </si>
  <si>
    <t>Usage of an security account</t>
  </si>
  <si>
    <t>746025a6-dbfb-4087-a000-e46acab64ee1</t>
  </si>
  <si>
    <t>Usage of edge encryption at transit</t>
  </si>
  <si>
    <t>ad23be9c-5661-4f1f-81a3-5a5dc7061629</t>
  </si>
  <si>
    <t>Usage of encryption at rest</t>
  </si>
  <si>
    <t>0ff45fb8-7eef-46ed-9b3a-84c955cd7060</t>
  </si>
  <si>
    <t>Usage of internal encryption at transit</t>
  </si>
  <si>
    <t>ecb0184c-6bc9-45da-bbbb-a983797ffc93</t>
  </si>
  <si>
    <t>Usage of security by default for components</t>
  </si>
  <si>
    <t>11b3848e-e931-4146-a35d-35409ada24ee</t>
  </si>
  <si>
    <t>Virtual environments are limited</t>
  </si>
  <si>
    <t>760f1056-b0ee-4f22-a35b-f65446f944ca</t>
  </si>
  <si>
    <t>WAF baseline</t>
  </si>
  <si>
    <t>f0e01814-3b88-4bd0-a3a9-f91db001d20b</t>
  </si>
  <si>
    <t>WAF medium</t>
  </si>
  <si>
    <t>f0e01814-3b88-4bd0-a3a9-f91db001d20b-medium</t>
  </si>
  <si>
    <t>Usage of test and production environments</t>
  </si>
  <si>
    <t>bfdacb52-1e3f-431d-ae72-d844a5e86415</t>
  </si>
  <si>
    <t>Information Gathering</t>
  </si>
  <si>
    <t>Monitoring</t>
  </si>
  <si>
    <t>Coverage and control metrics</t>
  </si>
  <si>
    <t>d0d681e7-d6de-4829-ac64-a9eb2546aa0d</t>
  </si>
  <si>
    <t>Metrics are combined with tests</t>
  </si>
  <si>
    <t>71699daf-b2a4-466b-a0b2-89f7dbb18506</t>
  </si>
  <si>
    <t>Alerting</t>
  </si>
  <si>
    <t>8a442d8e-0eb1-4793-a513-571aef982edd</t>
  </si>
  <si>
    <t>Test KPI</t>
  </si>
  <si>
    <t>Patching mean time to resolution via production</t>
  </si>
  <si>
    <t>86d490b9-d798-4a5b-a011-ab9688014c46</t>
  </si>
  <si>
    <t>Advanced app. metrics</t>
  </si>
  <si>
    <t>d03bc410-74a7-4e92-82cb-d01a020cb6bf</t>
  </si>
  <si>
    <t>Audit of system events</t>
  </si>
  <si>
    <t>1cd5e4b8-be36-4726-adc7-d8f843f47ac8</t>
  </si>
  <si>
    <t>Screens with metric visualization</t>
  </si>
  <si>
    <t>8746647c-638c-473f-8e17-82c068e4c311</t>
  </si>
  <si>
    <t>Targeted alerting</t>
  </si>
  <si>
    <t>d6f06ae8-401a-4f44-85df-1079247fa030</t>
  </si>
  <si>
    <t>Generation of response statistics</t>
  </si>
  <si>
    <t>c922981b-65ed-40f3-a947-96fee9a0125f</t>
  </si>
  <si>
    <t>Logging</t>
  </si>
  <si>
    <t>Centralized application logging</t>
  </si>
  <si>
    <t>fe875e17-ae4a-45f8-a359-244aa4fcbc04</t>
  </si>
  <si>
    <t>Centralized system logging</t>
  </si>
  <si>
    <t>4eced38a-7904-4c45-adb0-50b663065540</t>
  </si>
  <si>
    <t>Correlation of security events</t>
  </si>
  <si>
    <t>ccf4561d-253f-4762-adcb-bc4622fd6fc5</t>
  </si>
  <si>
    <t>Logging of security events</t>
  </si>
  <si>
    <t>ccfdd0a8-991e-4269-ad77-c0a54ca655cb</t>
  </si>
  <si>
    <t>PII logging concept</t>
  </si>
  <si>
    <t>613a73dc-4f60-49db-a6ce-4fb7bf8519f9</t>
  </si>
  <si>
    <t>Visualized logging</t>
  </si>
  <si>
    <t>7c735089-6a83-419f-8b27-c1e676cedea1</t>
  </si>
  <si>
    <t>Defense metrics</t>
  </si>
  <si>
    <t>e808028c-351c-42f1-bcd9-fba738d1fc55</t>
  </si>
  <si>
    <t>Simple application metrics</t>
  </si>
  <si>
    <t>e9a6d403-a467-445e-b98a-74f0c29da0b1</t>
  </si>
  <si>
    <t>Advanced availability and stability metrics</t>
  </si>
  <si>
    <t>ed715b38-c34b-40cd-83fd-ce807f306fc1</t>
  </si>
  <si>
    <t>Deactivation of unused metrics</t>
  </si>
  <si>
    <t>7f36b9ba-bc05-4fd6-9a2a-73344c249722</t>
  </si>
  <si>
    <t>Grouping of metrics</t>
  </si>
  <si>
    <t>42170a71-d4c8-47af-bd71-bf36875fd05b</t>
  </si>
  <si>
    <t>Monitoring of costs</t>
  </si>
  <si>
    <t>10e23a8c-22ff-4487-a706-87ccc9d0798e</t>
  </si>
  <si>
    <t>Simple budget metrics</t>
  </si>
  <si>
    <t>f08a3219-6941-43ec-8762-4aff739f4664</t>
  </si>
  <si>
    <t>Simple system metrics</t>
  </si>
  <si>
    <t>3d1f4c3b-f713-46d9-933a-54a014a26c03</t>
  </si>
  <si>
    <t>Visualized metrics</t>
  </si>
  <si>
    <t>ded39bcf-4eaa-4c5f-9c94-09acde0a4734</t>
  </si>
  <si>
    <t>Number of vulnerabilities/severity</t>
  </si>
  <si>
    <t>bc548cba-cb82-4f76-bd4b-325d9d256279</t>
  </si>
  <si>
    <t>Number of vulnerabilities/severity/layer</t>
  </si>
  <si>
    <t>0ec92899-a5cb-4649-984b-2fb1d6c784ad</t>
  </si>
  <si>
    <t>Test and Verification</t>
  </si>
  <si>
    <t>Dynamic depth for applications</t>
  </si>
  <si>
    <t>Coverage analysis</t>
  </si>
  <si>
    <t>d0ba0be5-c573-405f-b905-b7a8f87a9cc7</t>
  </si>
  <si>
    <t>Coverage of hidden endpoints</t>
  </si>
  <si>
    <t>6a9cb303-0f98-48a8-bdcd-56d41c0012b8</t>
  </si>
  <si>
    <t>Coverage of more input vectors</t>
  </si>
  <si>
    <t>5e0ff85b-ec89-4ef0-96b1-5695fa0025dc</t>
  </si>
  <si>
    <t>Static depth for infrastructure</t>
  </si>
  <si>
    <t>Analyze logs</t>
  </si>
  <si>
    <t>b217c8bb-5d61-4b41-a675-1083993f83b1</t>
  </si>
  <si>
    <t>Test of virtualized environments</t>
  </si>
  <si>
    <t>58825d22-1ce6-4748-af81-0ec9956e4129</t>
  </si>
  <si>
    <t>Static depth for applications</t>
  </si>
  <si>
    <t>Local development security checks performed</t>
  </si>
  <si>
    <t>6e180abc-7c98-4265-b4e9-852cb91b067b</t>
  </si>
  <si>
    <t>Dynamic depth for infrastructure</t>
  </si>
  <si>
    <t>Weak password test</t>
  </si>
  <si>
    <t>61e10f9c-e126-4ffa-af12-fdbe0d0a831f</t>
  </si>
  <si>
    <t>Coverage of sequential operations</t>
  </si>
  <si>
    <t>845f06ec-148c-4c67-9755-7041911dcca5</t>
  </si>
  <si>
    <t>Coverage of service to service communication</t>
  </si>
  <si>
    <t>22aab0ef-76ce-4b8c-979c-3699784330db</t>
  </si>
  <si>
    <t>Test for stored secrets</t>
  </si>
  <si>
    <t>c6e3c812-56e2-41b0-ae01-b7afc41a004c</t>
  </si>
  <si>
    <t>Consolidation</t>
  </si>
  <si>
    <t>Reproducible defect tickets</t>
  </si>
  <si>
    <t>27337442-e4b1-4e87-8dc9-ce86fbb79a39</t>
  </si>
  <si>
    <t>Simple visualization of defects</t>
  </si>
  <si>
    <t>55f4c916-3a34-474d-ad96-9a9f7a4f6a83</t>
  </si>
  <si>
    <t>Integration of vulnerability issues into the development process</t>
  </si>
  <si>
    <t>ce970c9b-da94-41cf-bd78-8c15357b7e8e</t>
  </si>
  <si>
    <t>Simple false positive treatment</t>
  </si>
  <si>
    <t>c1acc8af-312e-4503-a817-a26220c993a0</t>
  </si>
  <si>
    <t>Coverage of client side dynamic components</t>
  </si>
  <si>
    <t>9711f871-f79d-4573-8d4f-d2c98fd0d18e</t>
  </si>
  <si>
    <t>Usage of multiple scanners</t>
  </si>
  <si>
    <t>5b5a1eb2-113f-41fb-a3d6-06af4fdc9cea</t>
  </si>
  <si>
    <t>Advanced visualization of defects</t>
  </si>
  <si>
    <t>7a82020c-94d1-471c-bbd3-5f7fe7df4876</t>
  </si>
  <si>
    <t>Fix based on accessibility</t>
  </si>
  <si>
    <t>0c10a7f7-f78f-49f2-943d-19fdef248fed</t>
  </si>
  <si>
    <t>Usage of a vulnerability management system</t>
  </si>
  <si>
    <t>85ba5623-84be-4219-8892-808837be582d</t>
  </si>
  <si>
    <t>Usage of different roles</t>
  </si>
  <si>
    <t>65a2d7d9-5441-46bf-a4e3-f76919857750</t>
  </si>
  <si>
    <t>Test of the configuration of cloud environments</t>
  </si>
  <si>
    <t>7bb70764-9392-4462-935d-e55b2e148199</t>
  </si>
  <si>
    <t>Test cluster deployment resources</t>
  </si>
  <si>
    <t>621fb6a5-5c0a-4408-826a-068868bb031b</t>
  </si>
  <si>
    <t>Test-Intensity</t>
  </si>
  <si>
    <t>Regular automated tests</t>
  </si>
  <si>
    <t>598897a2-358e-441f-984c-e12ec4f6110a</t>
  </si>
  <si>
    <t>Dead code elimination</t>
  </si>
  <si>
    <t>a8d7d1f1-fc24-49ab-8fb6-f3a03da9c61d</t>
  </si>
  <si>
    <t>Test for Patch Deployment Time</t>
  </si>
  <si>
    <t>0cb2c39a-3cec-4353-b3ab-8d70daf4c9d2</t>
  </si>
  <si>
    <t>Test for Time to Patch</t>
  </si>
  <si>
    <t>13af1227-3dd1-4d4f-a9e9-53deb793c18f</t>
  </si>
  <si>
    <t>Application tests</t>
  </si>
  <si>
    <t>High coverage of security related module and integration tests</t>
  </si>
  <si>
    <t>67667c97-c33e-4306-a4e5-e7b1d8e10c5a</t>
  </si>
  <si>
    <t>Security integration tests for important components</t>
  </si>
  <si>
    <t>f57d55f2-dc05-4b34-9d1f-f8ce5bfb0715</t>
  </si>
  <si>
    <t>Security unit tests for important components</t>
  </si>
  <si>
    <t>eb2c7f9d-d0bd-4253-a2ba-cff2ace4a075</t>
  </si>
  <si>
    <t>Smoke Test</t>
  </si>
  <si>
    <t>73aaae0b-5d68-4953-9fa4-fd25bf665f2a</t>
  </si>
  <si>
    <t>Simple Scan</t>
  </si>
  <si>
    <t>07796811-37f9-467c-9ff2-48f346e77ff3</t>
  </si>
  <si>
    <t>Load tests</t>
  </si>
  <si>
    <t>ab5725aa-4d53-47b9-96df-c14b3fa93bcd</t>
  </si>
  <si>
    <t>Test for exposed services</t>
  </si>
  <si>
    <t>a6c4cefb-a0b7-4787-8cc7-a0f96b4b00d8</t>
  </si>
  <si>
    <t>Test for unused Resources</t>
  </si>
  <si>
    <t>6532c1fe-9d23-4228-8722-558ddabca7d4</t>
  </si>
  <si>
    <t>Test network segmentation</t>
  </si>
  <si>
    <t>6d2c3ac6-8afc-4af6-a5e9-6188341aca01</t>
  </si>
  <si>
    <t>Test the cloud configuration</t>
  </si>
  <si>
    <t>46d6a2a8-f9dc-4c15-9fc8-1723cfecbddc</t>
  </si>
  <si>
    <t>API design validation</t>
  </si>
  <si>
    <t>017d9e26-42b5-49a4-b945-9f59b308fb99</t>
  </si>
  <si>
    <t>Exclusion of source code duplicates</t>
  </si>
  <si>
    <t>d17dbff0-1f10-492a-b4c7-17bb59a0a711</t>
  </si>
  <si>
    <t>Test libyear</t>
  </si>
  <si>
    <t>87b54313-fafd-4860-930f-5ef132b3e4ad</t>
  </si>
  <si>
    <t>Usage of multiple analyzers</t>
  </si>
  <si>
    <t>297be001-8d94-41ee-ab29-207020d423c0</t>
  </si>
  <si>
    <t>Correlate known vulnerabilities in infrastructure with new image versions</t>
  </si>
  <si>
    <t>7de0ae33-6538-45cd-8222-a1475647ba58</t>
  </si>
  <si>
    <t>Creation and application of a testing concept</t>
  </si>
  <si>
    <t>79ef8103-e1ed-4055-8df8-fd2b2015bebe</t>
  </si>
  <si>
    <t>Deactivating of unneeded tests</t>
  </si>
  <si>
    <t>1bd78cdd-ef11-4bb5-9b58-5af2e25fe1c5</t>
  </si>
  <si>
    <t>Default settings for intensity</t>
  </si>
  <si>
    <t>ab0a4b51-3b18-43f1-a6fc-a98e4b28453d</t>
  </si>
  <si>
    <t>High test intensity</t>
  </si>
  <si>
    <t>2ebfc421-8c76-415c-a3b0-fa518915bd10</t>
  </si>
  <si>
    <t>Treatment of all defects</t>
  </si>
  <si>
    <t>b2f77606-3e6c-41e9-b72d-7c0b1d3d581d</t>
  </si>
  <si>
    <t>Treatment of defects with severity high or higher</t>
  </si>
  <si>
    <t>44f2c8a9-4aaa-4c72-942d-63f78b89f385</t>
  </si>
  <si>
    <t>Treatment of defects with severity middle</t>
  </si>
  <si>
    <t>9cac3341-fe83-4079-bef2-bfc4279eb594</t>
  </si>
  <si>
    <t>Exploit likelihood estimation</t>
  </si>
  <si>
    <t>f2f0f274-c1a0-4501-92fe-7fc4452bc8ad</t>
  </si>
  <si>
    <t>Software Composition Analysis (client side)</t>
  </si>
  <si>
    <t>07fe8c4f-ae33-4409-b1b2-cf64cfccea86</t>
  </si>
  <si>
    <t>Software Composition Analysis (server side)</t>
  </si>
  <si>
    <t>d918cd44-a972-43e9-a974-eff3f4a5dcfe</t>
  </si>
  <si>
    <t>Static analysis for all components/libraries</t>
  </si>
  <si>
    <t>f4ff841d-3b2a-45d9-853e-5ec7ecbcb054</t>
  </si>
  <si>
    <t>Static analysis for all self written components</t>
  </si>
  <si>
    <t>ee68331f-9b1d-4f61-844b-b2ea04753a84</t>
  </si>
  <si>
    <t>Static analysis for important client side components</t>
  </si>
  <si>
    <t>e237176b-bec5-447d-a926-e37d6dd60e4b</t>
  </si>
  <si>
    <t>Static analysis for important server side components</t>
  </si>
  <si>
    <t>6c05c837-8c99-46e2-828b-7c903e27dba4</t>
  </si>
  <si>
    <t>Stylistic analysis</t>
  </si>
  <si>
    <t>efa52cc8-6c5c-4ba2-a3d2-7164b0402f34</t>
  </si>
  <si>
    <t>Software Composition Analysis</t>
  </si>
  <si>
    <t>26e1c6d5-5632-4ec7-80d2-e564b98732ad</t>
  </si>
  <si>
    <t>Test for image lifetime</t>
  </si>
  <si>
    <t>ddfe7c3c-b7a4-4cba-9041-b044d4a34e5b</t>
  </si>
  <si>
    <t>Test for new image version</t>
  </si>
  <si>
    <t>cb6321aa-0fbf-4996-9e08-05ab26ef4c1e</t>
  </si>
  <si>
    <t>Test of infrastructure components for known vulnerabilities</t>
  </si>
  <si>
    <t>13367d8f-e37f-4197-a610-9ffca4fde261</t>
  </si>
  <si>
    <t>Test the definition of virtualized environments</t>
  </si>
  <si>
    <t>8fc3de67-7b8d-420b-8d24-f35928cfed6e</t>
  </si>
  <si>
    <t>Test for unauthorized installation</t>
  </si>
  <si>
    <t>dccf1949-b9a8-4ce8-b992-6a4a7f3a623a</t>
  </si>
  <si>
    <t>Test for malware</t>
  </si>
  <si>
    <t>837f8f90-adc2-4e6b-9ebb-60c2ee29494d</t>
  </si>
  <si>
    <t>Integration in development process</t>
  </si>
  <si>
    <t>aaffa73f-59f6-4267-b0ab-732f3d13e90d</t>
  </si>
  <si>
    <t>4</t>
  </si>
  <si>
    <t>83
91
56</t>
  </si>
  <si>
    <t>60
58
57</t>
  </si>
  <si>
    <t>60
59</t>
  </si>
  <si>
    <t>108
106
101</t>
  </si>
  <si>
    <t>7</t>
  </si>
  <si>
    <t>83
56</t>
  </si>
  <si>
    <t>57
58</t>
  </si>
  <si>
    <t>3</t>
  </si>
  <si>
    <t>57</t>
  </si>
  <si>
    <t>59
60</t>
  </si>
  <si>
    <t>79</t>
  </si>
  <si>
    <t>68</t>
  </si>
  <si>
    <t>65</t>
  </si>
  <si>
    <t>63</t>
  </si>
  <si>
    <t>175
176
174
161
173</t>
  </si>
  <si>
    <t>174
175
176</t>
  </si>
  <si>
    <t>173</t>
  </si>
  <si>
    <t>171
172
178</t>
  </si>
  <si>
    <t>161</t>
  </si>
  <si>
    <t>131</t>
  </si>
  <si>
    <t>152</t>
  </si>
  <si>
    <t>122
123</t>
  </si>
  <si>
    <t>123</t>
  </si>
  <si>
    <t>124</t>
  </si>
  <si>
    <t>122</t>
  </si>
  <si>
    <t>123
124</t>
  </si>
  <si>
    <t>137</t>
  </si>
  <si>
    <t>136</t>
  </si>
  <si>
    <t>127
149
150</t>
  </si>
  <si>
    <t>142
154
181
184</t>
  </si>
  <si>
    <t>86</t>
  </si>
  <si>
    <t>156</t>
  </si>
  <si>
    <t>154
142
181
184</t>
  </si>
  <si>
    <t>108</t>
  </si>
  <si>
    <t>101
108</t>
  </si>
  <si>
    <t>106</t>
  </si>
  <si>
    <t>36</t>
  </si>
  <si>
    <t>53</t>
  </si>
  <si>
    <t>51</t>
  </si>
  <si>
    <t>49</t>
  </si>
  <si>
    <t>27
40
30</t>
  </si>
  <si>
    <t>41</t>
  </si>
  <si>
    <t>28
29</t>
  </si>
  <si>
    <t>149
150</t>
  </si>
  <si>
    <t>151</t>
  </si>
  <si>
    <t>148</t>
  </si>
  <si>
    <t>135
168
133</t>
  </si>
  <si>
    <t>185
134</t>
  </si>
  <si>
    <t>167
169</t>
  </si>
  <si>
    <t>P-ROLE-RESP-2-4</t>
  </si>
  <si>
    <t>P-REQ-RD-4</t>
  </si>
  <si>
    <t>T-CODE-IMG-4-2</t>
  </si>
  <si>
    <t>T-ADI-ART-4-2</t>
  </si>
  <si>
    <t>T-ADI-ART-4-3</t>
  </si>
  <si>
    <t>T-ADI-ART-4-4</t>
  </si>
  <si>
    <t>Is your full build process formally described?</t>
  </si>
  <si>
    <t>SM3.4
CR1.4
CR1.5</t>
  </si>
  <si>
    <t>SM3.1
AM2.9</t>
  </si>
  <si>
    <t>SM3.1
AM2.9
CMVM2.3</t>
  </si>
  <si>
    <t>SM1.1
SR1.1
SR1.2</t>
  </si>
  <si>
    <t>SR1.2
SR3.3</t>
  </si>
  <si>
    <t>SR1.2
SR2.2</t>
  </si>
  <si>
    <t>AM1.3
AA2.1
AA2.2</t>
  </si>
  <si>
    <t>SA-A-3 (???)</t>
  </si>
  <si>
    <t>SM1.4
CP2.3</t>
  </si>
  <si>
    <t>SM1.4
CP2.3
ST1.3</t>
  </si>
  <si>
    <t>Domains</t>
  </si>
  <si>
    <t>Subdomains</t>
  </si>
  <si>
    <t>Practices requirements</t>
  </si>
  <si>
    <t>% of practices implemented for subdomain</t>
  </si>
  <si>
    <t>% of practices implemented total</t>
  </si>
  <si>
    <t>Management and control of external component usage</t>
  </si>
  <si>
    <t>Management and control of application development artifacts</t>
  </si>
  <si>
    <t>Developers workstations security</t>
  </si>
  <si>
    <t>Secrets management in DEV/TEST environments</t>
  </si>
  <si>
    <t>Build-environment security</t>
  </si>
  <si>
    <t>Build pipeline security</t>
  </si>
  <si>
    <t>Security assurance for vendor-developed software</t>
  </si>
  <si>
    <t>Static application security testing (SAST)</t>
  </si>
  <si>
    <t>Software Composition Analysis/Open Source Analysis (SCA/OSA)</t>
  </si>
  <si>
    <t>Image container security analysis</t>
  </si>
  <si>
    <t>Secrets detection</t>
  </si>
  <si>
    <t>Dynamic Application Security testing (DAST) in PREPROD environment</t>
  </si>
  <si>
    <t>Functional security testing</t>
  </si>
  <si>
    <t>Secrets management in PROD environment</t>
  </si>
  <si>
    <t>Dynamic Application Security Testing (DAST) in PROD environment</t>
  </si>
  <si>
    <t>Penetration testing in PROD environment</t>
  </si>
  <si>
    <t>Management of Infrastructure changes and access permissions</t>
  </si>
  <si>
    <t>Network traffic monitoring and control (L4–L7)</t>
  </si>
  <si>
    <t>Runtime environment monitoring and control</t>
  </si>
  <si>
    <t>Security events monitoring and management</t>
  </si>
  <si>
    <t>DevSecOps secure development training</t>
  </si>
  <si>
    <t>DevSecOps knowledge base management</t>
  </si>
  <si>
    <t>Defining security requirements for applications under development</t>
  </si>
  <si>
    <t>Verification of compliance with security requirements</t>
  </si>
  <si>
    <t>Infrastructure components security configuration management</t>
  </si>
  <si>
    <t>Security defects handling</t>
  </si>
  <si>
    <t>Security defects consolidation</t>
  </si>
  <si>
    <t>Security metrics management</t>
  </si>
  <si>
    <t>Security metrics compliance control</t>
  </si>
  <si>
    <t>DSO process roles segregation</t>
  </si>
  <si>
    <t>Processes</t>
  </si>
  <si>
    <t>Technologies</t>
  </si>
  <si>
    <t>DAF maturity pyramid level</t>
  </si>
  <si>
    <t>% of Compliance with the Maturity Level (DAF maturity pyramid)</t>
  </si>
  <si>
    <t>Chaos</t>
  </si>
  <si>
    <t>Minimal</t>
  </si>
  <si>
    <t>Basic</t>
  </si>
  <si>
    <t>Enhanced</t>
  </si>
  <si>
    <t>Advanced</t>
  </si>
  <si>
    <t>Developed</t>
  </si>
  <si>
    <t>Expert</t>
  </si>
  <si>
    <t>Ultimate</t>
  </si>
  <si>
    <t>Development environment security</t>
  </si>
  <si>
    <t>Tool-Based security defects detection and analysis</t>
  </si>
  <si>
    <t>Runtime application analysis (Pre-Prod environment)</t>
  </si>
  <si>
    <t>Training and knowledge management</t>
  </si>
  <si>
    <t>Software security requirements management</t>
  </si>
  <si>
    <t>Security defects management</t>
  </si>
  <si>
    <t>DSO process effectiveness management</t>
  </si>
  <si>
    <t>DSO process roles and responsibilities</t>
  </si>
  <si>
    <t>Dockerfiles analysis</t>
  </si>
  <si>
    <t>Pre-Release software penetration testing</t>
  </si>
  <si>
    <t>Vulnerability management (PROD Infrastructure)</t>
  </si>
  <si>
    <t>Vulnerability management (PREPROD Infrastructure)</t>
  </si>
  <si>
    <t>Source code change management and control</t>
  </si>
  <si>
    <t>Source code management system (SCM) security</t>
  </si>
  <si>
    <t>Software criticality assessment and threat modeling</t>
  </si>
  <si>
    <t>Software security configuration standards</t>
  </si>
  <si>
    <t>Applications &amp; infrastructure security (Runtime in the production environment)</t>
  </si>
  <si>
    <t>% of practices implemented for the subdomain</t>
  </si>
  <si>
    <t>% of practices implemented</t>
  </si>
  <si>
    <t>Overall DAF maturity level for the organization</t>
  </si>
  <si>
    <t>Transition threshold for each DAF pyramid level</t>
  </si>
  <si>
    <t>Status</t>
  </si>
  <si>
    <t>Practice complexity level</t>
  </si>
  <si>
    <t>% of practices implemented per group</t>
  </si>
  <si>
    <t>Maturity levels — percentage completion of practice groups and compliance to the DAF maturity pyramid levels</t>
  </si>
  <si>
    <t>Beginners</t>
  </si>
  <si>
    <t>There are (formalized) unified rules that define whether certain dependencies can be used in the code.
For example, there is an approved document and/or a knowledge base page describing the procedure for using dependencies in the code.</t>
  </si>
  <si>
    <t>A documented and formalized response plan for information security incidents related to dependencies exists.</t>
  </si>
  <si>
    <t>Hardening (secure configuration) of configuration files for the open-source software (OSS) packages in use (e.g., nuget.config, .npmrc, pip.conf, pom.xml, etc.) is performed.</t>
  </si>
  <si>
    <t>Dependencies with the “latest” tag are not used.</t>
  </si>
  <si>
    <t>Developers obtain and use OSS components exclusively through standardized (formalized and approved) methods.</t>
  </si>
  <si>
    <t>The use of newly released (less than 60 days old) and outdated (more than 365 days old) OSS components is monitored and regulated.
For example, an OSS firewall is configured to issue warnings (or block) when attempting to use OSS that was released or updated more than 365 days ago or less than 60 days ago.</t>
  </si>
  <si>
    <t>An inventory of the dependencies in use is maintained.
For example, an internal repository or knowledge base has been established for this purpose.</t>
  </si>
  <si>
    <t>When a Pull/Merge request is created, a list of all vulnerabilities in the dependencies used must be provided.
This can be implemented by means of an SCA solution.</t>
  </si>
  <si>
    <t>Required dependencies are built independently in a trusted environment.</t>
  </si>
  <si>
    <t>Artifact management is present in some form</t>
  </si>
  <si>
    <t>All development artifacts are stored in trusted registries.
For example, an internal registry is used.</t>
  </si>
  <si>
    <t>Anonymous access to the registry is disabled</t>
  </si>
  <si>
    <t>Auditing of all configuration changes to artifact repositories is configured and enabled</t>
  </si>
  <si>
    <t>Developers obtain artifacts for further work exclusively from internal repositories</t>
  </si>
  <si>
    <t>An SBOM is created for all artifacts</t>
  </si>
  <si>
    <t>Multi-factor authentication is used to access the registry.</t>
  </si>
  <si>
    <t>The build pipeline signs all artifacts it creates.</t>
  </si>
  <si>
    <t>All artifacts in the registry are encrypted.</t>
  </si>
  <si>
    <t xml:space="preserve">Protective measures are applied to developer workstations. </t>
  </si>
  <si>
    <t>Baseline requirements for software and configurations on corporate developer workstations are approved and applied.
For example, requirements for antivirus, operating system updates, and password policies.</t>
  </si>
  <si>
    <t>Secrets in the development environment are protected using the built-in mechanisms of development tools (e.g., CI/CD systems), without the use of dedicated secret management systems.</t>
  </si>
  <si>
    <t>Information security incidents related to the use of secrets in the development environment are handled by the Information Security team in cooperation with the developers.</t>
  </si>
  <si>
    <t>Secrets in the development environment are stored in a secret management tool, such as HashiCorp Vault.</t>
  </si>
  <si>
    <t>Developers and engineers exchange secrets using a secret management tool, such as HashiCorp Vault.</t>
  </si>
  <si>
    <t>Secrets of all environments and tools (excluding developer workstations and similar ad-hoc environments) are stored in a secret management system (e.g., Vault). The number of hardcoded secrets is kept to a minimum. The cases where hardcoded secrets are used are known to the Information Security team, and a plan is in place to phase them out.</t>
  </si>
  <si>
    <t>A secret rotation policy for development environments has been established and is applied</t>
  </si>
  <si>
    <t>Practices for securing the software build infrastructure are applied.</t>
  </si>
  <si>
    <t>Each build worker node has only the minimum required network access (restricted to necessary services and limited to specific ports and protocols).</t>
  </si>
  <si>
    <t>Centralized storage of build logs, including configuration changes, is implemented.</t>
  </si>
  <si>
    <t>Each build worker node has a dedicated role (e.g., testing, compilation, artifact delivery), and no other tasks are executed on it.</t>
  </si>
  <si>
    <t>Security hardening standards are applied to build worker nodes.</t>
  </si>
  <si>
    <t>All build worker node configurations are centrally stored in the source code management system.</t>
  </si>
  <si>
    <t>The creation of the build environment is automated using Infrastructure as Code (IaC).</t>
  </si>
  <si>
    <t>Code repository protection practices are applied.</t>
  </si>
  <si>
    <t>Access to the version control system is managed through a role-based model built on the principle of least privilege. The model regulates at minimum:
- The ability to create repositories
- The ability to delete repositories
- The ability to modify repository visibility</t>
  </si>
  <si>
    <t>Regular users are allowed to create only private repositories.</t>
  </si>
  <si>
    <t>Administrator approval is required for the installation of any applications or extensions in Source Code Management (SCM) systems.</t>
  </si>
  <si>
    <t>Auditing is enabled for all code forks, and a responsible owner is assigned.</t>
  </si>
  <si>
    <t>A regular process is in place to identify, review, and remove inactive users from all projects.</t>
  </si>
  <si>
    <t>Email notifications can be sent only to trusted (verified) domains.</t>
  </si>
  <si>
    <t>Inactive (unnecessary) applications (such as plugins or extensions) are removed from the SCM system.</t>
  </si>
  <si>
    <t>Each repository is configured by default with minimum user privileges.</t>
  </si>
  <si>
    <t>Only corporate email addresses are used when adding new users to the SCM system.</t>
  </si>
  <si>
    <t>All changes to project visibility are tracked.</t>
  </si>
  <si>
    <t>Unused repositories are identified and archived on a regular basis</t>
  </si>
  <si>
    <t>Access to the SCM system is carried out using multi-factor authentication.</t>
  </si>
  <si>
    <t>Access to SCM systems is allowed only from authorized IP addresses.</t>
  </si>
  <si>
    <t>Access for developers to repositories is performed using certificates issued exclusively by the company’s internal Certification Authority (CA), not self-signed certificates, as an additional authentication factor.</t>
  </si>
  <si>
    <t>All changes to source code are tracked using a version control system (SCM).</t>
  </si>
  <si>
    <t>The review cycle for a source code merge request is reinitiated when additional changes are proposed.</t>
  </si>
  <si>
    <t>Developers do not have “dismiss code change review” permissions, which would allow them to bypass the standard code review procedure.</t>
  </si>
  <si>
    <t>For all repositories, the linear history option is enabled. Only squash and rebase merge options are available.</t>
  </si>
  <si>
    <t>Branch protection is enforced for all repositories to prevent unauthorized or uncontrolled changes to protected branches.</t>
  </si>
  <si>
    <t>Unused branches are regularly analyzed and removed.</t>
  </si>
  <si>
    <t>Merging of source code changes is allowed only when there are no open comments or discussions.</t>
  </si>
  <si>
    <t>Each source code change has a corresponding ticket in the task management system (e.g., Jira).</t>
  </si>
  <si>
    <t>Branch protection rules are applied to administrator accounts as well.</t>
  </si>
  <si>
    <t>Code Owners are defined and assigned for the most critical files.</t>
  </si>
  <si>
    <t>Code Owners approve changes to the files they are responsible for.</t>
  </si>
  <si>
    <t>Merge requests  contain only signed commits. Unsigned commits are not permitted under any circumstances, especially for the main branch.</t>
  </si>
  <si>
    <t>For all repositories, the “force push” function is available only to the owner.</t>
  </si>
  <si>
    <t>Security practices for the software build pipeline are applied.</t>
  </si>
  <si>
    <t>Access to the build pipeline is restricted, with RBAC configured.</t>
  </si>
  <si>
    <t>Event logs of build pipelines are centrally stored.</t>
  </si>
  <si>
    <t>A “CI/CD as Code” approach is used for pipeline creation.</t>
  </si>
  <si>
    <t>Protected tags (tag protection) are enforced.</t>
  </si>
  <si>
    <t>Use of [skip ci] directives and pre-commit hooks to bypass pipeline execution is prohibited.</t>
  </si>
  <si>
    <t>For each build stage, input and output parameters and results are strictly defined.</t>
  </si>
  <si>
    <t>Changes to CI/CD configuration files (build pipelines) are continuously tracked.</t>
  </si>
  <si>
    <t>All Build-stage logs are centrally stored.</t>
  </si>
  <si>
    <t>Each CI/CD pipeline used for builds is single-purpose (e.g., testing, compilation, artifact delivery); no other tasks are executed on it.</t>
  </si>
  <si>
    <t>Requirements for contractors regarding custom development are defined.</t>
  </si>
  <si>
    <t>Baseline information security functional requirements for contractor-developed software are established.</t>
  </si>
  <si>
    <t>When selecting a contractor for custom development, its capabilities, experience, and existing secure development practices are taken into account.</t>
  </si>
  <si>
    <t>For critical applications developed by contractors, penetration testing is performed regularly and/or source code is reviewed internally or by specialized contractors.</t>
  </si>
  <si>
    <t>Detailed cybersecurity requirements for the application development process are defined and taken into account during contractor selection, including:
- requirements for the availability and use of code and component analyzers (e.g., SAST/SCA) during development;
- requirements for providing reports demonstrating the absence and/or remediation of identified vulnerabilities in the software under development;
- other relevant criteria.</t>
  </si>
  <si>
    <t>Procedures for identifying vulnerabilities and tracking their remediation in contractor-developed software are developed and enforced within the company.</t>
  </si>
  <si>
    <t>Application development contracts include provisions requiring an SBOM for each software version, with defined mechanisms for obtaining it.</t>
  </si>
  <si>
    <t>Composition analysis (SCA) of contractor-developed custom software is performed within the customer company.</t>
  </si>
  <si>
    <t>For all contractor-developed applications, penetration testing is conducted; where source code is provided, it is reviewed internally or by specialized contractors</t>
  </si>
  <si>
    <t>All artifacts delivered by the contractor (including the SBOM) are digitally signed, and a process for verifying the signatures of delivered artifacts is implemented</t>
  </si>
  <si>
    <t>Development contracts require delivery of the complete, buildable source code and associated files (e.g., build scripts, configuration, and dependencies).</t>
  </si>
  <si>
    <t>Static analysis (SAST) is performed on supplier-developed source code, and the findings are reviewed</t>
  </si>
  <si>
    <t>All contractor-developed software is built within the customer’s infrastructure, using the full suite of secure development tools and following the customer’s processes.</t>
  </si>
  <si>
    <t>Source code analysis is applied, at minimum, on an ad-hoc basis.</t>
  </si>
  <si>
    <t>At minimum, default SAST rules are used.</t>
  </si>
  <si>
    <t>Regular scanning of specific code portions is performed, for example:
-Changes made following sprint results;
-Code of internally developed frameworks;</t>
  </si>
  <si>
    <t>Unused SAST analysis rules are disabled.</t>
  </si>
  <si>
    <t>SAST is integrated into CI (a separate script is used for each development team).</t>
  </si>
  <si>
    <t>SAST IDE plugins are used (where available).</t>
  </si>
  <si>
    <t>Regular SAST scanning of the entire codebase is performed.</t>
  </si>
  <si>
    <t>Customized rules are used.</t>
  </si>
  <si>
    <t>SAST is integrated with the code-quality tool (e.g., SonarQube).</t>
  </si>
  <si>
    <t>Source code of open-source components is scanned (for malware, protestware, etc.).</t>
  </si>
  <si>
    <t>Composition analysis (SCA) of the software under development is performed.</t>
  </si>
  <si>
    <t>SCA scanner uses the default rule set.</t>
  </si>
  <si>
    <t>Selective manual blocking of dependencies is applied when serious security defects are identified.</t>
  </si>
  <si>
    <t>A complete history of all libraries used is retained in SCA.</t>
  </si>
  <si>
    <t>High-severity vulnerable libraries, including those with RCE, are blocked by agreement between Information Security Department and the development team.</t>
  </si>
  <si>
    <t>The acquisition of images is controlled, with retrieval limited to trusted repositories.</t>
  </si>
  <si>
    <t>Verification of components’ digital signatures and hashes is performed.</t>
  </si>
  <si>
    <t>SCA scanner is integrated into CI/CD.</t>
  </si>
  <si>
    <t>License-compliance checks are performed using SCA tool.</t>
  </si>
  <si>
    <t>Combined SAST and SCA practices are applied to identify code vulnerabilities through effective-usage analysis (e.g., a library is vulnerable, but the vulnerable method is not used).</t>
  </si>
  <si>
    <t>End-of-life libraries are blocked by agreement between Information Security team and developers.</t>
  </si>
  <si>
    <t>Paid enrichment feeds are used to augment analysis results for open-source components.</t>
  </si>
  <si>
    <t>Container images are scanned for vulnerabilities.</t>
  </si>
  <si>
    <t>Container image vulnerability scanning is performed using a standardized toolset across all development teams</t>
  </si>
  <si>
    <t>The image scans are performed manually.</t>
  </si>
  <si>
    <t>Selective manual blocking of container images is applied when critical security defects are discovered in the image.</t>
  </si>
  <si>
    <t>Container image vulnerability scanning is integrated into CI/CD.</t>
  </si>
  <si>
    <t>Container images stored in internal repositories are periodically scanned for vulnerabilities.</t>
  </si>
  <si>
    <t>When critical security defects are detected in container images, tickets are automatically created for remediation.</t>
  </si>
  <si>
    <t>Verification of container image digital signatures is performed.</t>
  </si>
  <si>
    <t>Secret scanning is implemented across the codebase</t>
  </si>
  <si>
    <t>Secret detection mechanisms are applied at least in SCM systems.</t>
  </si>
  <si>
    <t>Secret detection tools are run manually (ad hoc).</t>
  </si>
  <si>
    <t>Secret detection tools use default scanning settings.</t>
  </si>
  <si>
    <t>Security incidents involving discovered secrets are resolved jointly between Information Security and the development teams.</t>
  </si>
  <si>
    <t>Secret detection tools cover:
- all versions of code stored in SCM;
- IaC manifests;
- artifacts, including Docker images;
- all repositories;
- cloud infrastructure;
- scanning and blocking of secrets during pull/Merge stages.</t>
  </si>
  <si>
    <t>Fine-tuned configurations are used for secret-scanning tools</t>
  </si>
  <si>
    <t>Prioritization is applied when handling security events related to discovered secrets.</t>
  </si>
  <si>
    <t>Commits containing secrets are blocked in coordination between Information Security and the development team.</t>
  </si>
  <si>
    <t>Secret scanning also covers:
- developer workstations and ad-hoc environments;
- build logs.</t>
  </si>
  <si>
    <t>Secrets auto-validation tools are used.</t>
  </si>
  <si>
    <t>No hardcoded secrets are present in the environment (secret scanning is performed with multiple tools and, over an extended period—e.g., six months—has not identified any hardcoded secrets).</t>
  </si>
  <si>
    <t>Dockerfile hardening practices are applied.</t>
  </si>
  <si>
    <t>A standard for secure Dockerfiles is defined and applied</t>
  </si>
  <si>
    <t>Manual security review of Dockerfiles is performed.</t>
  </si>
  <si>
    <t>Dockerfiles are validated automatically within the CI/CD pipeline</t>
  </si>
  <si>
    <t>DAST (Dynamic Application Security Testing) practices are applied.</t>
  </si>
  <si>
    <t>DAST scanning is used at least for the user interface.</t>
  </si>
  <si>
    <t>DAST scanning is performed manually.</t>
  </si>
  <si>
    <t>DAST rules that are not in use are disabled</t>
  </si>
  <si>
    <t>Unauthenticated scanning is performed with full UI coverage, including:
- spider scanning (e.g., https://www.zaproxy.org/docs/desktop/addons/spider/);
- dependency scanning.</t>
  </si>
  <si>
    <t>DAST authenticated scans are performed, including:
- dependency scanning;
- exercising all available roles and user types;
- support for existing sessions;
- use of log-in/log-out flows;
- spider scanning after authentication.</t>
  </si>
  <si>
    <t>DAST vulnerability scanning is integrated into CI/CD.</t>
  </si>
  <si>
    <t>DAST scanning includes hidden paths.</t>
  </si>
  <si>
    <t>DAST scanners are configured with customized parameters to maximize input-parameter coverage and enhance overall scan breadth</t>
  </si>
  <si>
    <t>DAST scanning includes business-logic paths (e.g., logging in, updating account details, adding items to the cart).</t>
  </si>
  <si>
    <t>Separate DAST scanning of backend and frontend is performed, including:
- scanning of SOAP services;
- scanning of proxy services that relay requests between frontend and backend;
- fuzzing of XML and JSON data sent to API services.</t>
  </si>
  <si>
    <t>Scanning covers all paths and interactions (including with the backend).</t>
  </si>
  <si>
    <t>Use of multiple scanner engines increases coverage and enables cross-validation of results.</t>
  </si>
  <si>
    <t>Custom dynamic-testing profiles are used with increased intensity and rigor for critical parts of the application.</t>
  </si>
  <si>
    <t>Penetration testing is performed in the Preprod environment.</t>
  </si>
  <si>
    <t>Penetration testing is conducted regularly in the Preprod environment</t>
  </si>
  <si>
    <t>Black-box penetration tests of the Preprod environment are performed (the tester knows only basic information about the target, such as domain names and IP addresses).</t>
  </si>
  <si>
    <t>Gray-box penetration tests are performed (the tester knows the environment architecture and the analyzed software, including versions, and has access to the source code, etc.).</t>
  </si>
  <si>
    <t>A documented procedure detailing the methodology and the conditions under which penetration testing is performed in the Preprod environment is defined and applied</t>
  </si>
  <si>
    <t>Security analysis of secure-development tools (e.g., SAST, OSA/SCA) is performed to identify vulnerabilities or defects, including whether reports, configurations, and similar tool artifacts can be accessed without authorization or leveraged by an attacker</t>
  </si>
  <si>
    <t>Testing of the software’s security features is performed</t>
  </si>
  <si>
    <t>Security features testing is conducted (ad hoc, not formally regulated).</t>
  </si>
  <si>
    <t>A procedure regulating the conduct of functional tests related to security feature is defined and applied.</t>
  </si>
  <si>
    <t>At least 5% of functional tests related to security features are automated.</t>
  </si>
  <si>
    <t>More than 20% of functional tests related to security featuress are automated.</t>
  </si>
  <si>
    <t>Vulnerability scanning of the PREPROD (test and development) infrastructure is performed in some form.</t>
  </si>
  <si>
    <t>Vulnerability scanning of the PREPROD infrastructure is performed periodically in a manual mode using automation tools or scripts (ad hoc, not formally governed).</t>
  </si>
  <si>
    <t>Regular scanning of the most critical PREPROD infrastructure components for vulnerabilities is performed, and a remediation process is in place.</t>
  </si>
  <si>
    <t>Regular asset-inventory tasks for PREPROD infrastructure  are performed using automated tools.</t>
  </si>
  <si>
    <t>Security updates are regularly installed on the key PREPROD infrastructure elements (e.g., the orchestrator and server operating systems).</t>
  </si>
  <si>
    <t>Regular vulnerability scanning of all PREPROD infrastructure components is performed, with an established remediation process.</t>
  </si>
  <si>
    <t>Automated checks of the main PREPROD infrastructure components (e.g., orchestrator and server operating systems) against best practices are performed, and a process for correcting non-compliance settings is in place.</t>
  </si>
  <si>
    <t>Regular vulnerability scanning of the PREPROD infrastructure is performed using automated tools in penetration-test mode.</t>
  </si>
  <si>
    <t>Security updates are regularly installed on all PREPROD infrastructure elements (e.g., the orchestrator and server operating systems).</t>
  </si>
  <si>
    <t>Automated checks of all PREPROD infrastructure components for compliance with best practices are performed, with a process in place for remediating non-compliance settings.</t>
  </si>
  <si>
    <t>Regular replacement of vendor-unsupported (outdated) software for PREPROD infrastructure components is performed.</t>
  </si>
  <si>
    <t>Security testing of configuration files (Dockerfiles, Kubernetes manifests, Terraform, etc.) is performed.</t>
  </si>
  <si>
    <t>Dockerfiles are analyzed for security defects.</t>
  </si>
  <si>
    <t>Configuration (e.g., Kubernetes, IaC) is checked for security defects.</t>
  </si>
  <si>
    <t>Secrets management and secrets protection practices are applied.</t>
  </si>
  <si>
    <t>Built-in software mechanisms are used for secret management (e.g. Gitlab variables). Dedicated secrets-management tools are not used.</t>
  </si>
  <si>
    <t>Security incidents involving secrets are resolved jointly with system owners.</t>
  </si>
  <si>
    <t>Secrets management tools are used, but their use is not formally governed.</t>
  </si>
  <si>
    <t>Prioritization of security incidents related to secrets is applied (e.g., event A is assigned a higher priority than event B); prioritization rules are formalized.</t>
  </si>
  <si>
    <t>Secrets for all environments (except Dev) are stored in a secrets management system; situational use of hardcoded secrets is tolerated.</t>
  </si>
  <si>
    <t>Automated rotation of all secrets is defined and performed—both on a schedule and on event/request.</t>
  </si>
  <si>
    <t>Procedures governing the use of secrets management tools are developed and applied.</t>
  </si>
  <si>
    <t>No Hardcoded secrets exist in the production environment.</t>
  </si>
  <si>
    <t>Regular monitoring of public databases, systems, information channels, and other Internet (including dark-web) sources is performed to detect leaked company secrets.</t>
  </si>
  <si>
    <t>Penetration testing is performed in the Prod environment.</t>
  </si>
  <si>
    <t>Black-box penetration tests of the Prod environment are performed (the tester knows only basic information such as domain names and IP addresses).</t>
  </si>
  <si>
    <t>Penetration testing is conducted regularly in the Prod environment.</t>
  </si>
  <si>
    <t>Gray-box penetration tests are performed (the tester knows the environment architecture and the analyzed software, including versions, and has access to the source code).</t>
  </si>
  <si>
    <t>A documented procedure detailing the methodology and the conditions under which penetration testing is performed in the Prod environment is defined and applied</t>
  </si>
  <si>
    <t>A bug bounty program is established and operated.</t>
  </si>
  <si>
    <t>Social-engineering penetration tests targeted and adapted to developers are performed.</t>
  </si>
  <si>
    <t>Red Team / Purple Team exercises are conducted with developer teams.</t>
  </si>
  <si>
    <t>DAST practices in PROD environment are applied.</t>
  </si>
  <si>
    <t>Passive DAST scanning via traffic mirroring in PROD environment is used.</t>
  </si>
  <si>
    <t>Dynamic scanning in PROD environment is performed manually.</t>
  </si>
  <si>
    <t>Both active and passive DAST scanning mechanisms in PROD environment are used.</t>
  </si>
  <si>
    <t>Unauthenticated DAST scanning in PROD environment is performed with full UI coverage, including:
- spider scanning (e.g., ZAP Spider);
- dependency scanning.</t>
  </si>
  <si>
    <t>Authenticated DAST scanning in PROD environment is performed, including:
- dependency scanning;
- exercising all available roles and user types;
- support for existing sessions;
- use of log-in/log-out flows;
- spider scanning after authentication.</t>
  </si>
  <si>
    <t>Unused DAST scanner rules are disabled.</t>
  </si>
  <si>
    <t>DAST scanning in PROD environment includes hidden paths.</t>
  </si>
  <si>
    <t>Customized DAST scanner parameters in PROD environment are used to maximize input-parameter coverage and improve overall scan scope.</t>
  </si>
  <si>
    <t>DAST scanning in PROD environment includes business-logic paths (e.g., logging in, updating account details, adding items to the cart).</t>
  </si>
  <si>
    <t>Separate DAST scanning in PROD environment of backend and frontend is performed, including:
- scanning of SOAP services;
- scanning of proxy services relaying requests between frontend and backend;
- fuzzing of XML and JSON data sent to API services.</t>
  </si>
  <si>
    <t>DAST scanning in PROD environment covers all paths and interactions (including with the backend).</t>
  </si>
  <si>
    <t>Use of multiple DAST scanner engines in PROD environment increases coverage and enables cross-validation of results.</t>
  </si>
  <si>
    <t>Custom dynamic-testing profiles with increased intensity and rigor are used for critical parts of the application in PROD environment.</t>
  </si>
  <si>
    <t>Infrastructure lifecycle automation practices (e.g., IaC) are applied in the Production environment.</t>
  </si>
  <si>
    <t>IaC configuration for PROD environment is stored both within and outside the centralized source code repository (SCM).</t>
  </si>
  <si>
    <t>The production environment is defined as code, is regularly updated, and is reproducible.</t>
  </si>
  <si>
    <t>A version-control process for IaC configuration is implemented for PROD environment.</t>
  </si>
  <si>
    <t>Access to the production environment is limited to a trusted set of users.</t>
  </si>
  <si>
    <t>Use of default passwords in PROD environment is prohibited.</t>
  </si>
  <si>
    <t>Access to infrastructure configuration code in PROD environment (IaC files) is limited to a small set of users.</t>
  </si>
  <si>
    <t>Auditing of all changes to deployment configurations for any environment is configured, enabled, and processed.</t>
  </si>
  <si>
    <t>Deployment to all non-production environments is automated.</t>
  </si>
  <si>
    <t>Deployment to all production environments is automated.</t>
  </si>
  <si>
    <t>Network traffic is monitored in the PROD segment.</t>
  </si>
  <si>
    <t>Network traffic filtering at the firewall level (L3/L4) is in place in the PROD environment.</t>
  </si>
  <si>
    <t>The PROD infrastructure resides in a dedicated network segment.</t>
  </si>
  <si>
    <t>Global network policies are configured and applied at the containerization layer.</t>
  </si>
  <si>
    <t>L7 traffic-control policies are configured and applied.</t>
  </si>
  <si>
    <t>Customized network policies are configured and applied for individual microservices (namespaces).</t>
  </si>
  <si>
    <t>Monitoring and control of running processes are implemented</t>
  </si>
  <si>
    <t>Runtime controls for containerized environments (e.g., Kyverno, OPA Gatekeeper, Pod Security Admission, other validating tools) are used with default settings.</t>
  </si>
  <si>
    <t>Customized runtime policies for containerized environments are used at least at the cluster-wide level.</t>
  </si>
  <si>
    <t>Customized runtime policies are configured and applied for individual containerized applications.</t>
  </si>
  <si>
    <t>Vulnerability scanning of the PROD infrastructure is performed in some form.</t>
  </si>
  <si>
    <t>Infrastructure vulnerability scanning is performed manually and on an ad hoc basis.</t>
  </si>
  <si>
    <t>Regular vulnerability scanning is performed for PROD environment components exposed to the Internet, and remediation process is in place.</t>
  </si>
  <si>
    <t>Regular asset-inventory tasks for PROD environment are performed using automation tools.</t>
  </si>
  <si>
    <t>Security updates are regularly installed on key PROD environment elements (e.g., the orchestrator and server operating systems).</t>
  </si>
  <si>
    <t>Regular vulnerability scanning of all PROD infrastructure components is performed, and remediation process is in place.</t>
  </si>
  <si>
    <t>Automated checks of key PROD infrastructure components (e.g., the orchestrator and server operating systems) against security standards (based on best practices) are performed, with a process in place for correcting non-compliant settings.</t>
  </si>
  <si>
    <t>Regular vulnerability scanning of the PROD infrastructure is performed using automated tools in a penetration-test mode.</t>
  </si>
  <si>
    <t>Security updates are regularly installed on all PROD infrastructure elements (e.g., the orchestrator and server operating systems, web servers, database servers, etc).</t>
  </si>
  <si>
    <t>Automated compliance checks of all PROD infrastructure components against security standards (based on best practices) are performed, with a process in place for correcting non-compliant settings.</t>
  </si>
  <si>
    <t>Outdated, vendor-unsupported software in the PROD infrastructure is regularly updated.</t>
  </si>
  <si>
    <t>Events from PROD infrastructure components are collected (at least minimally).</t>
  </si>
  <si>
    <t>An audit policy for the PROD infrastructure (e.g., a Kubernetes audit policy) is defined and applied. Logs are collected but not processed (e.g., retained within the Kubernetes cluster).</t>
  </si>
  <si>
    <t>All PROD infrastructure logs (e.g., Kubernetes) are processed in the SIEM, with correlation rules configured to identify cybersecurity incidents.</t>
  </si>
  <si>
    <t>Cybersecurity training for developers is conducted</t>
  </si>
  <si>
    <t>Basic cybersecurity training program is in place</t>
  </si>
  <si>
    <t>Cybersecurity training for development teams is delivered on an ad hoc basis</t>
  </si>
  <si>
    <t>Regular cybersecurity training is provided to all developers (external, internal, and e-learning).</t>
  </si>
  <si>
    <t>The developer training process is formalized (e.g., a cybersecurity awareness and secure-development training policy is in place).</t>
  </si>
  <si>
    <t>Special cybersecurity training for Security Champions is conducted.</t>
  </si>
  <si>
    <t>A centralized platform for cybersecurity training is implemented and in use.</t>
  </si>
  <si>
    <t>A program promoting internal knowledge sharing is implemented and operating.</t>
  </si>
  <si>
    <t>An incentive system for completing cybersecurity training is developed and implemented.</t>
  </si>
  <si>
    <t>The Information Security team regularly participates in CTF-style exercises or trainings in a cyber range in the context of web security and SSDLC</t>
  </si>
  <si>
    <t>Internal knowledge resources (knowledge databases) with rules and recommendations for secure development are available.</t>
  </si>
  <si>
    <t>Team-level local knowledge databases are maintained within individual development teams.</t>
  </si>
  <si>
    <t>A centralized resource (common knowledge database) exists that stores basic rules and recommendations for secure development.</t>
  </si>
  <si>
    <t>The unified knowledge database is updated irregularly; no formally assigned owners are in place, and no QA is performed.</t>
  </si>
  <si>
    <t>The centralized resource stores unified, detailed rules and recommendations for secure development applicable to the company as a whole and to individual development teams.</t>
  </si>
  <si>
    <t>The unified knowledge database is updated regularly; responsible owners are assigned at both team and company levels, and QA of the materials is performed.</t>
  </si>
  <si>
    <t>The knowledge base is populated with real examples identified during penetration tests, bug bounty activities, and AppSec triage, including complex cases (e.g., business-logic issues).</t>
  </si>
  <si>
    <t>Documentation standards are developed and implemented; the unified knowledge database adheres to these standards and contains the required set of documents and information for the software under development.</t>
  </si>
  <si>
    <t>The knowledge database includes detailed cases with technical specifics and a CTF-like lab replica to support training.</t>
  </si>
  <si>
    <t>Threat modeling is performed to meet compliance requirements (e.g., for regulated systems) or for the most critical systems.</t>
  </si>
  <si>
    <t>Formal applicatio business criticality criterias are defined.</t>
  </si>
  <si>
    <t>Threat models are developed, including for infrastructure components.</t>
  </si>
  <si>
    <t>Threat modeling is performed for all new applications.</t>
  </si>
  <si>
    <t>Threat models are developed for business processes as well.</t>
  </si>
  <si>
    <t>The threat-modeling process for developed software is standardized (templates are available; approaches for updating threats are defined).</t>
  </si>
  <si>
    <t>Threat models are reviewed regularly.</t>
  </si>
  <si>
    <t>“Abuse cases” (illegitimate-use scenarios) are defined for each software product under development and are considered during threat modeling and subsequent changes.</t>
  </si>
  <si>
    <t>Security requirements are established for applications under development.</t>
  </si>
  <si>
    <t>Baseline security requirements for software under development are defined and applied.</t>
  </si>
  <si>
    <t>Information Security specialists review and approve decisions that affect the security posture of the application under development.</t>
  </si>
  <si>
    <t>Additional security requirements are defined based on threats identified through threat modeling.</t>
  </si>
  <si>
    <t>Security requirements are standardized (e.g., checklists are developed).</t>
  </si>
  <si>
    <t>Information Security specialists are involved in software architecture design</t>
  </si>
  <si>
    <t>Additional security requirements for business functions are defined based on the results of threat modeling.</t>
  </si>
  <si>
    <t>Additional security requirements are defined based on the results of risk analysis.</t>
  </si>
  <si>
    <t>The Architecture Committee makes key decisions that affect the security posture of applications under development</t>
  </si>
  <si>
    <t>All features undergo review and approval by Information Security at the planning stage.</t>
  </si>
  <si>
    <t>Compliance with security requirements for applications under development is validated.</t>
  </si>
  <si>
    <t>Security requirements for applications under development are verified at the release-to-production stage.</t>
  </si>
  <si>
    <t>Adherence to security requirements for applications under development is verified through functional security testing and penetration testing.</t>
  </si>
  <si>
    <t>Application code is validated to confirm it is free of known vulnerabilities (e.g., via documented quality gates).</t>
  </si>
  <si>
    <t>The technical specification and architecture design are reviewed and approved with security requirements taken into account.</t>
  </si>
  <si>
    <t>Configuration standards for applications in development are defined.</t>
  </si>
  <si>
    <t>Configuration standards (recommendations, legacy settings) for applications under development are applied manually.</t>
  </si>
  <si>
    <t>Configuration standards for applications under development  are defined for key systems.</t>
  </si>
  <si>
    <t>Configuration standards are developed and applied for all systems.</t>
  </si>
  <si>
    <t>Configuration profiles are updated regularly using a risk-based approach.</t>
  </si>
  <si>
    <t>Configuration standards for infrastructure components are defined.</t>
  </si>
  <si>
    <t>Infrastructure configuration standards (recommendations, legacy settings) are applied manually.</t>
  </si>
  <si>
    <t>Infrastructure configuration standards are developed for key infrastructure systems.</t>
  </si>
  <si>
    <t>Selective oversight of adherence to infrastructure configuration standards is performed without automation.</t>
  </si>
  <si>
    <t>Infrastructure configuration standards are developed and applied for all systems.</t>
  </si>
  <si>
    <t>Automated tools are used to monitor/enforce adherence to infrastructure configuration standards.</t>
  </si>
  <si>
    <t>Infrastructure-as-Code (IaC) approach is used to manage configuration of infrastructure components.</t>
  </si>
  <si>
    <t>Infrastructure configuration standards are updated regularly using a risk-based approach.</t>
  </si>
  <si>
    <t>Security defects are overseen and tracked until resolved</t>
  </si>
  <si>
    <t>Critical-severity defects are remediated as a priority</t>
  </si>
  <si>
    <t>Automated identification of security defects is part of the CI/CD process</t>
  </si>
  <si>
    <t>An SLA for security defects remediation is implemented and enforced.</t>
  </si>
  <si>
    <t>At the quality gate, verification is performed that no security defects above the defined severity threshold remain (this is a passing criteria).</t>
  </si>
  <si>
    <t>Security defects are handled in accordance with a risk-based approach.</t>
  </si>
  <si>
    <t>A centralized system for storing and processing security defects reports is in place.</t>
  </si>
  <si>
    <t>A centralized repository for security defect reports for applications in development is in place and actively used.</t>
  </si>
  <si>
    <t>Reporting is exported and centrally stored for a set of security checks/tools.</t>
  </si>
  <si>
    <t>Reporting is exported and centrally stored for all security checks/tools used by the company to analyze applications in development.</t>
  </si>
  <si>
    <t>An SGRC platform is implemented and used for report management.</t>
  </si>
  <si>
    <t>Reports are uploaded to SGRC manually.</t>
  </si>
  <si>
    <t>Reports are uploaded to SGRC automatically.</t>
  </si>
  <si>
    <t>A roster of responsible owners for handling security defects is maintained, with defined escalation paths for remediation.</t>
  </si>
  <si>
    <t>DSO process metrics are defined.</t>
  </si>
  <si>
    <t>DSO process metrics are defined, documented, and tracked.</t>
  </si>
  <si>
    <t>Target values are defined for each DSO process metric.</t>
  </si>
  <si>
    <t>Collected DSO process metrics are reviewed regularly.</t>
  </si>
  <si>
    <t>Target metric values are adjusted on a regular basis.</t>
  </si>
  <si>
    <t>DSO metrics are managed.</t>
  </si>
  <si>
    <t>DSO process metrics are collected and analyzed.</t>
  </si>
  <si>
    <t>Reports are generated and DSO metric results are compared with the target values.</t>
  </si>
  <si>
    <t>Metrics are collected and analyzed for all teams.</t>
  </si>
  <si>
    <t>The effectiveness of implemented measures is evaluated regularly based on DSO process metrics.</t>
  </si>
  <si>
    <t>DSO metric results are visualized via dashboards (e.g., Grafana).</t>
  </si>
  <si>
    <t>Business process improvements are driven by DSO metrics; examples exist and/or the process is documented.</t>
  </si>
  <si>
    <t>Security Champion practices are in place, including regular engagement with development teams on security matters.</t>
  </si>
  <si>
    <t>Security Champion functions are performed by Information Security specialists</t>
  </si>
  <si>
    <t>A designated Security Champion is assigned to the team/project.</t>
  </si>
  <si>
    <t>Security Champion promotes secure-development best practices within the team and shares vulnerability information and new security methods/practices with the AppSec team.</t>
  </si>
  <si>
    <t>Security Champion conducts R&amp;D on new security tools and reports results to the AppSec team.</t>
  </si>
  <si>
    <t>Security Champion keeps secure-development tooling up to date.</t>
  </si>
  <si>
    <t>Security Champion performs code security reviews within their area of expertise.</t>
  </si>
  <si>
    <t>Security Champion participates in PoC development and testing of new security tools.</t>
  </si>
  <si>
    <t>Security Champion delivers secure-development and broader security training for new developers.</t>
  </si>
  <si>
    <t>Security Champion rotates into the AppSec team for up to three months as part of a staff-rotation program.</t>
  </si>
  <si>
    <t>Security Champion reviews threat models and secure design, and conducts peer reviews of work performed by other Security Champions.</t>
  </si>
  <si>
    <t>Security Champion develops PoCs for new exploits and verifies applications for compliance with security requirements.</t>
  </si>
  <si>
    <t>Role segregation for DevSecOps process is in place.</t>
  </si>
  <si>
    <t>Information Security department has designated specialists responsible for the security of applications in development (in addition to their other duties).</t>
  </si>
  <si>
    <t>Responsibility for the security of applications in development is formally assigned (e.g., via policies, orders, or job descriptions).</t>
  </si>
  <si>
    <t>Dedicated Information Security roles accountable for application security during development are appointed.</t>
  </si>
  <si>
    <t>DSO roles matrix is defined.</t>
  </si>
  <si>
    <t>DevSecOps process  policy is developed and in effect.</t>
  </si>
  <si>
    <t>DevSecOps process  roadmap exists and is approved.</t>
  </si>
  <si>
    <t>A RACI matrix for the end-to-end DSO process is developed, approved and in use.</t>
  </si>
  <si>
    <t>DevSecOps process  roadmap is regularly reviewed and updated to reflect business objectives and external factors.</t>
  </si>
  <si>
    <t>Not implemented</t>
  </si>
  <si>
    <t>Partly implemented</t>
  </si>
  <si>
    <t>Fully Implemented</t>
  </si>
  <si>
    <t>Not applicable</t>
  </si>
  <si>
    <t>Total</t>
  </si>
  <si>
    <t>GOVERNANCE</t>
  </si>
  <si>
    <t>Strategy &amp; Metrics (SM)</t>
  </si>
  <si>
    <t>SM1.1</t>
  </si>
  <si>
    <t xml:space="preserve">Publish process and evolve as necessary. </t>
  </si>
  <si>
    <t>SM1.3</t>
  </si>
  <si>
    <t xml:space="preserve">Educate executives on software security. </t>
  </si>
  <si>
    <t xml:space="preserve">Implement security checkpoints and associated governance. </t>
  </si>
  <si>
    <t xml:space="preserve">Publish data about software security internally and use it to drive change. </t>
  </si>
  <si>
    <t xml:space="preserve">Enforce security checkpoints and track exceptions. </t>
  </si>
  <si>
    <t xml:space="preserve">Create or grow a satellite (security champions). </t>
  </si>
  <si>
    <t>SM2.6</t>
  </si>
  <si>
    <t>Require security sign-off prior to software release</t>
  </si>
  <si>
    <t>SM2.7</t>
  </si>
  <si>
    <t>Create evangelism role and perform internal marketing.</t>
  </si>
  <si>
    <t>Use a software asset tracking application with portfolio view.</t>
  </si>
  <si>
    <t>SM3.2</t>
  </si>
  <si>
    <t xml:space="preserve">Make SSI efforts part of external marketing. </t>
  </si>
  <si>
    <t>Identify metrics and use them to drive resourcing.</t>
  </si>
  <si>
    <t>Integrate software-defined lifecycle governance.</t>
  </si>
  <si>
    <t>Integrate software supply chain risk management.</t>
  </si>
  <si>
    <t>Compliance &amp; Policy (CP)</t>
  </si>
  <si>
    <t>CP1.1</t>
  </si>
  <si>
    <t xml:space="preserve">Unify regulatory pressures. </t>
  </si>
  <si>
    <t>CP1.2</t>
  </si>
  <si>
    <t xml:space="preserve">Identify privacy obligations. </t>
  </si>
  <si>
    <t>CP1.3</t>
  </si>
  <si>
    <t>Create policy.</t>
  </si>
  <si>
    <t>CP2.1</t>
  </si>
  <si>
    <t>Build a PII inventry.</t>
  </si>
  <si>
    <t>CP2.2</t>
  </si>
  <si>
    <t>Require security sign-off for compliance-related risk.</t>
  </si>
  <si>
    <t>Implement and track controls for compliance.</t>
  </si>
  <si>
    <t>CP2.4</t>
  </si>
  <si>
    <t>Include software security SLAs in all vendor contracts.</t>
  </si>
  <si>
    <t>CP2.5</t>
  </si>
  <si>
    <t>Ensure executive awareness of compliance and privacy obligations.</t>
  </si>
  <si>
    <t>CP3.1</t>
  </si>
  <si>
    <t>Document a software compliance story.</t>
  </si>
  <si>
    <t>CP3.2</t>
  </si>
  <si>
    <t>Drive feedback from software lifecycle data back to policy.</t>
  </si>
  <si>
    <t>Ensure compatible vendor policies.</t>
  </si>
  <si>
    <t>Training (T)</t>
  </si>
  <si>
    <t>T1.1</t>
  </si>
  <si>
    <t>Conduct software security awareness training.</t>
  </si>
  <si>
    <t>T1.7</t>
  </si>
  <si>
    <t>Deliver on-demand individual training</t>
  </si>
  <si>
    <t>T1.8</t>
  </si>
  <si>
    <t>Include security resources in onboarding.</t>
  </si>
  <si>
    <t>T2.5</t>
  </si>
  <si>
    <t>Enhance satellite (security champions) through training and events.</t>
  </si>
  <si>
    <t>T2.8</t>
  </si>
  <si>
    <t>Create and use material specific to company history.</t>
  </si>
  <si>
    <t>T2.9</t>
  </si>
  <si>
    <t>Deliver role-specific advanced curriculum.</t>
  </si>
  <si>
    <t>T2.10</t>
  </si>
  <si>
    <t>Host software security events</t>
  </si>
  <si>
    <t>T2.11</t>
  </si>
  <si>
    <t>Require an annual refresher.</t>
  </si>
  <si>
    <t xml:space="preserve">Provide expertise via open collaboration channels. </t>
  </si>
  <si>
    <t>Reward progression through curriculum.</t>
  </si>
  <si>
    <t>T3.2</t>
  </si>
  <si>
    <t>Trovide training for vendors and outsourced workers.</t>
  </si>
  <si>
    <t>T3.6</t>
  </si>
  <si>
    <t>Identify new satellite members (security champions) through observation.</t>
  </si>
  <si>
    <t>INTELLIGENCE</t>
  </si>
  <si>
    <t>Attack Models (AM)</t>
  </si>
  <si>
    <t>AM1.2</t>
  </si>
  <si>
    <t>Use a data classification scheme for software inventory.</t>
  </si>
  <si>
    <t>AM1.3</t>
  </si>
  <si>
    <t>Identify potential attackers.</t>
  </si>
  <si>
    <t>AM1.5</t>
  </si>
  <si>
    <t>Gather and use attack intelligence.</t>
  </si>
  <si>
    <t>Build attack patterns and abuse cases tied to potential attackers.</t>
  </si>
  <si>
    <t>AM2.6</t>
  </si>
  <si>
    <t>Collect and publish attack stories</t>
  </si>
  <si>
    <t>AM2.7</t>
  </si>
  <si>
    <t>Build an internal forum to discuss attacks.</t>
  </si>
  <si>
    <t>AM2.8</t>
  </si>
  <si>
    <t>Have a research group that develops new attack methods.</t>
  </si>
  <si>
    <t>AM2.9</t>
  </si>
  <si>
    <t>Monitor automated asset creation</t>
  </si>
  <si>
    <t>AM3.2</t>
  </si>
  <si>
    <t xml:space="preserve">Create and use automation to mimic attackers. </t>
  </si>
  <si>
    <t>AM3.4</t>
  </si>
  <si>
    <t xml:space="preserve">Create technology-specific attack patterns. </t>
  </si>
  <si>
    <t>AM3.5</t>
  </si>
  <si>
    <t>Maintain and use a top N possible attacks list</t>
  </si>
  <si>
    <t>Security Features &amp; Design (SFD)</t>
  </si>
  <si>
    <t>SFD1.1</t>
  </si>
  <si>
    <t>Integrate and deliver security features</t>
  </si>
  <si>
    <t>Application architecture teams engage with the SSG.</t>
  </si>
  <si>
    <t>SFD2.1</t>
  </si>
  <si>
    <t>Leverage secure-by-design components and services</t>
  </si>
  <si>
    <t>SFD2.2</t>
  </si>
  <si>
    <t>Create capability to solve difficult design problems</t>
  </si>
  <si>
    <t>SFD3.1</t>
  </si>
  <si>
    <t>Form a review board to approve and maintain secure design patterns.</t>
  </si>
  <si>
    <t>SFD3.2</t>
  </si>
  <si>
    <t>Require use of approved security features and frameworks.</t>
  </si>
  <si>
    <t>SFD3.3</t>
  </si>
  <si>
    <t>Find and publish secure design patterns from the organization.</t>
  </si>
  <si>
    <t>Standards &amp; Requirements (SR)</t>
  </si>
  <si>
    <t>SR1.1</t>
  </si>
  <si>
    <t>Create security standards.</t>
  </si>
  <si>
    <t>SR1.2</t>
  </si>
  <si>
    <t xml:space="preserve">Create a security portal. </t>
  </si>
  <si>
    <t>Translate compliance constraints to requirements.</t>
  </si>
  <si>
    <t>SR1.3</t>
  </si>
  <si>
    <t>Identify open source.</t>
  </si>
  <si>
    <t>SR2.2</t>
  </si>
  <si>
    <t>Create a standards review process.</t>
  </si>
  <si>
    <t>SR2.5</t>
  </si>
  <si>
    <t>Create SLA boilerplate</t>
  </si>
  <si>
    <t>Control open source risk.</t>
  </si>
  <si>
    <t>SR3.2</t>
  </si>
  <si>
    <t>Communicate standards to vendors</t>
  </si>
  <si>
    <t>SR3.3</t>
  </si>
  <si>
    <t>Use secure coding standards.</t>
  </si>
  <si>
    <t>Create standards for technology stacks.</t>
  </si>
  <si>
    <t>SSDL TOUCHPOINTS</t>
  </si>
  <si>
    <t>Architecture Analysis (AA)</t>
  </si>
  <si>
    <t>Perform security feature review.</t>
  </si>
  <si>
    <t>AA1.2</t>
  </si>
  <si>
    <t>Perform design review for high-risk applications.</t>
  </si>
  <si>
    <t>Use a risk methodology to rank applications</t>
  </si>
  <si>
    <t>AA2.1</t>
  </si>
  <si>
    <t>Perform architecture analysis using a defined process.</t>
  </si>
  <si>
    <t>AA2.2</t>
  </si>
  <si>
    <t>Standardize architectural descriptions</t>
  </si>
  <si>
    <t>AA2.4</t>
  </si>
  <si>
    <t>Have SSG lead design review efforts</t>
  </si>
  <si>
    <t>AA3.1</t>
  </si>
  <si>
    <t>Have engineering teams lead AA process.</t>
  </si>
  <si>
    <t>AA3.2</t>
  </si>
  <si>
    <t>Drive analysis results into standard design patterns.</t>
  </si>
  <si>
    <t>AA3.3</t>
  </si>
  <si>
    <t>Make the SSG available as an AA resource or mentor.</t>
  </si>
  <si>
    <t>Code Review (CR)</t>
  </si>
  <si>
    <t>Perform opportunistic code review</t>
  </si>
  <si>
    <t>CR1.4</t>
  </si>
  <si>
    <t xml:space="preserve">Use automated code review tools. </t>
  </si>
  <si>
    <t>CR1.5</t>
  </si>
  <si>
    <t>Make code review mandatory for all projects</t>
  </si>
  <si>
    <t>Assign code review tool mentors</t>
  </si>
  <si>
    <t>Use custom rules with automated code review tools.</t>
  </si>
  <si>
    <t>CR2.7</t>
  </si>
  <si>
    <t>Use a top N bugs list (real data preferred).</t>
  </si>
  <si>
    <t>Use centralized defect reporting to close the knowledge loop.</t>
  </si>
  <si>
    <t>Build a capability to combine AST results</t>
  </si>
  <si>
    <t>CR3.3</t>
  </si>
  <si>
    <t>Create capability to eradicate bugs.</t>
  </si>
  <si>
    <t>CR3.4</t>
  </si>
  <si>
    <t>Automate malicious code detection.</t>
  </si>
  <si>
    <t>CR3.5</t>
  </si>
  <si>
    <t>Enforce secure coding standards</t>
  </si>
  <si>
    <t>Security Testing (ST)</t>
  </si>
  <si>
    <t>Perform edge/boundary value condition testing during QA.</t>
  </si>
  <si>
    <t>ST1.3</t>
  </si>
  <si>
    <t>Drive tests with security requirements and security features.</t>
  </si>
  <si>
    <t>Integrate opaque-box security tools into the QA process.</t>
  </si>
  <si>
    <t>ST2.4</t>
  </si>
  <si>
    <t>Drive QA tests with AST results.</t>
  </si>
  <si>
    <t>Include security tests in QA automation.</t>
  </si>
  <si>
    <t>Perform fuzz testing customized to application APIs.</t>
  </si>
  <si>
    <t>ST3.3</t>
  </si>
  <si>
    <t>Drive tests with design review results</t>
  </si>
  <si>
    <t>ST3.4</t>
  </si>
  <si>
    <t>Leverage code coverage analysis.</t>
  </si>
  <si>
    <t>ST3.5</t>
  </si>
  <si>
    <t>Begin to build and apply adversarial security tests (abuse cases).</t>
  </si>
  <si>
    <t>Implement event-driven security testing in automation</t>
  </si>
  <si>
    <t>DEPLOYMENT</t>
  </si>
  <si>
    <t>Penetration Testing (PT)</t>
  </si>
  <si>
    <t xml:space="preserve">Use external penetration testers to find problems. </t>
  </si>
  <si>
    <t>PT1.2</t>
  </si>
  <si>
    <t>Feed results to the defect management and mitigation system.</t>
  </si>
  <si>
    <t>PT1.3</t>
  </si>
  <si>
    <t>Use penetration testing tools internally</t>
  </si>
  <si>
    <t>Penetration testers use all available information</t>
  </si>
  <si>
    <t>PT2.3</t>
  </si>
  <si>
    <t>Schedule periodic penetration tests for application coverage.</t>
  </si>
  <si>
    <t>PT3.1</t>
  </si>
  <si>
    <t>Use external penetration testers to perform deep-dive analysis</t>
  </si>
  <si>
    <t>PT3.2</t>
  </si>
  <si>
    <t>Customize penetration testing tools</t>
  </si>
  <si>
    <t>Software Environment (SE)</t>
  </si>
  <si>
    <t>Use application input monitoring.</t>
  </si>
  <si>
    <t>Ensure host and network security basics are in place.</t>
  </si>
  <si>
    <t>SE1.3</t>
  </si>
  <si>
    <t>Implement cloud security controls.</t>
  </si>
  <si>
    <t>Define secure deployment parameters and configurations.</t>
  </si>
  <si>
    <t>Protect code integrity.</t>
  </si>
  <si>
    <t>SE2.5</t>
  </si>
  <si>
    <t>Use application containers to support security goals.</t>
  </si>
  <si>
    <t>SE2.7</t>
  </si>
  <si>
    <t>Use orchestration for containers and virtualized environments.</t>
  </si>
  <si>
    <t>SE3.2</t>
  </si>
  <si>
    <t>Use code protection.</t>
  </si>
  <si>
    <t>Use application behavior monitoring and diagnostics.</t>
  </si>
  <si>
    <t>SE3.6</t>
  </si>
  <si>
    <t xml:space="preserve">Create bills of materials for deployed software. </t>
  </si>
  <si>
    <t>Perform application composition analysis on code repositories.</t>
  </si>
  <si>
    <t>SE3.9</t>
  </si>
  <si>
    <t>Protect integrity of development toolchains</t>
  </si>
  <si>
    <t>Configuration Management &amp; Vulnerability Management (CMVM)</t>
  </si>
  <si>
    <t xml:space="preserve">Create or interface with incident response. </t>
  </si>
  <si>
    <t>CMVM1.2</t>
  </si>
  <si>
    <t>Identify software defects found in operations monitoring and feed them back to engineering</t>
  </si>
  <si>
    <t>CMVM1.3</t>
  </si>
  <si>
    <t>Track software defects found in operations through the fix process.</t>
  </si>
  <si>
    <t>CMVM2.1</t>
  </si>
  <si>
    <t>Have emergency response.</t>
  </si>
  <si>
    <t>CMVM2.3</t>
  </si>
  <si>
    <t>Develop an operations software inventory</t>
  </si>
  <si>
    <t>CMVM3.1</t>
  </si>
  <si>
    <t>Fix all occurrences of software defects found in operations.</t>
  </si>
  <si>
    <t>CMVM3.2</t>
  </si>
  <si>
    <t>Enhance the SSDL to prevent software defects found in operations.</t>
  </si>
  <si>
    <t>CMVM3.3</t>
  </si>
  <si>
    <t>Operate a bug bounty program.</t>
  </si>
  <si>
    <t>Simulate software crises.</t>
  </si>
  <si>
    <t>Automate verification of operational infrastructure security</t>
  </si>
  <si>
    <t>CMVM3.6</t>
  </si>
  <si>
    <t>Publish risk data for deployable artifacts</t>
  </si>
  <si>
    <t>CMVM3.7</t>
  </si>
  <si>
    <t>Streamline incoming responsible vulnerability disclosure.</t>
  </si>
  <si>
    <t>CMVM3.8</t>
  </si>
  <si>
    <t>Do attack surface management for deployed applications.</t>
  </si>
  <si>
    <t>Total SAMM practices mapped to DAF</t>
  </si>
  <si>
    <t>Total requirments</t>
  </si>
  <si>
    <t>% of SAMM practices mapped to DAF</t>
  </si>
  <si>
    <t>Total DSOMM practices mapped to DAF</t>
  </si>
  <si>
    <t>% of DSOMM practices mapped to DAF</t>
  </si>
  <si>
    <t>Total BSIMM14 practices mapped to DAF</t>
  </si>
  <si>
    <t>% of BSIMM14 practices mapped to DAF</t>
  </si>
  <si>
    <t>SAMM subdomain</t>
  </si>
  <si>
    <t>SAMM maturity level</t>
  </si>
  <si>
    <t>SAMM requirements</t>
  </si>
  <si>
    <t>SAMM ID</t>
  </si>
  <si>
    <t>DAF practice ID</t>
  </si>
  <si>
    <t>DAF implementation status</t>
  </si>
  <si>
    <t>Comments</t>
  </si>
  <si>
    <t>True</t>
  </si>
  <si>
    <t>False</t>
  </si>
  <si>
    <r>
      <t>Under the DAF methodology, DAF maturity pyramid level is only assigned when two mandatory conditions are met:</t>
    </r>
    <r>
      <rPr>
        <sz val="11"/>
        <color theme="1"/>
        <rFont val="Segoe UI"/>
        <family val="2"/>
        <charset val="204"/>
      </rPr>
      <t xml:space="preserve">
- At least 80 % of the practices for that level have been completed;
- All preceding maturity levels have been completed to a minimum of 80%
</t>
    </r>
    <r>
      <rPr>
        <b/>
        <sz val="11"/>
        <color theme="1"/>
        <rFont val="Segoe UI"/>
        <family val="2"/>
      </rPr>
      <t>Calculation notes:</t>
    </r>
    <r>
      <rPr>
        <sz val="11"/>
        <color theme="1"/>
        <rFont val="Segoe UI"/>
        <family val="2"/>
        <charset val="204"/>
      </rPr>
      <t xml:space="preserve">
1. First check whether each of the levels “Chaos” (level 0) and “Minimal” (level 1) have been completed at ≥ 80% (cell R37). If both are completed, assign level 1; if not, remain at level 0.
2. Next, check whether the “Basic” level is completed at ≥ 80%. If yes, assign level 2; if no, refer to cell R37.
3. Then check whether the “Enhanced” level is completed at ≥ 80%. If yes, assign level 3; if no, refer to cell R38.
4. Continue similarly for subsequent levels.</t>
    </r>
  </si>
  <si>
    <t>count</t>
  </si>
  <si>
    <t>DAF count</t>
  </si>
  <si>
    <t>BSIMM count</t>
  </si>
  <si>
    <t>A secret-management practice exists in the organization</t>
  </si>
  <si>
    <t>Updates to the existing dependencies are performed manually.
For example, when a new version of a library is required, you must manually download it and add it to the project.</t>
  </si>
  <si>
    <t>Automatic updating of the dependencies in use is implemented.
This can be achieved using specialized dependency update utilities.</t>
  </si>
  <si>
    <t xml:space="preserve">Verification of the digital signature of the SBOM is performed prior to using dependencies in the build.
The Verification of the SBOM digital signature is performed prior to using dependencies in the build. This can be implemented using an SCA </t>
  </si>
  <si>
    <t>Development artifact management is implemented in some form</t>
  </si>
  <si>
    <t>Dependency management in the source code is  implemented in some form</t>
  </si>
  <si>
    <t>External services are used for authentication in the registry.
For example, integration with a LDAP/SAML system is in place, and local accounts are not used.</t>
  </si>
  <si>
    <t>Webhooks use TLS version 1.2 or higher for interactions with the registry</t>
  </si>
  <si>
    <t>Hash sums are generated for all artifacts before they are uploaded to the registry and verified during the build process.</t>
  </si>
  <si>
    <t>Remote access to development tools from non-corporate (non-hardened) devices is permitted for only a small, limited number of devices.</t>
  </si>
  <si>
    <t>Remote access to development tools is only allowed either from corporate devices managed through MDM or via intermediary/proxy systems such as VDI or PAM.</t>
  </si>
  <si>
    <t>Dynamic, access-restricted secrets are used for environments.</t>
  </si>
  <si>
    <t>Access to the build environment (orchestrator, worker nodes, etc.) is restricted via RBAC configuration.</t>
  </si>
  <si>
    <t>A push approach (rarther than pull) is used to deliver parameters to all build worker nodes.</t>
  </si>
  <si>
    <t>Monitoring and incident response are implemented for build worker nodes in reagrds to the consumption of computing resources (CPU, RAM, HDD, etc.).</t>
  </si>
  <si>
    <t>Only designated users (e.g., configured through RBAC) have permissions to create and delete repositories.</t>
  </si>
  <si>
    <t>Only designated users (e.g., configured through RBAC) have permissions to can delete issues.</t>
  </si>
  <si>
    <t>Only designated users (e.g., configured through RBAC) have permissions to can create teams or groups.</t>
  </si>
  <si>
    <t>The number of SCM administrators is limited and reviewed regularly.</t>
  </si>
  <si>
    <t>Code is analyzed for anomalies relevant to the organization (for example, a commit contains disproportionately large code changes or an excessive number of commits occur within a short period).</t>
  </si>
  <si>
    <t>Practices for controlling changes to source code are applied</t>
  </si>
  <si>
    <t>A merge request is finalized only after all checks have successfully passed.</t>
  </si>
  <si>
    <t>Every merge request  undergoes approval from at least two authenticated users before it can be finalized, ensuring accountability and reducing the risk of unauthorized changes.</t>
  </si>
  <si>
    <t>All attempts to delete protected branches are monitored and logged, with alerts generated for the Information Security team to ensure accountability and prevent unauthorized removal</t>
  </si>
  <si>
    <t>Static analysis of the developed software's source code is performed</t>
  </si>
  <si>
    <t>All available open-source feeds are integrated into the SCA solution</t>
  </si>
  <si>
    <t>SCA IDE plugins are used for pre-commit Git hooks</t>
  </si>
  <si>
    <t>Non-compliant container images are blocked as agreed by the Information Security and development teams.</t>
  </si>
  <si>
    <t>CI/CD builds are blocked when high-severity vulnerabilities are found in container images, in coordination between the Information Security and development teams.</t>
  </si>
  <si>
    <t>Dynamic secrets are used and generated for each system-to-system interaction session.</t>
  </si>
  <si>
    <t>Business-criticality assessment is conducted for all newly developed applications.</t>
  </si>
  <si>
    <t>Business-criticality assessment and/or threat modeling are performed for applications under development.</t>
  </si>
  <si>
    <t>Business-criticality assessment is performed for all applications.</t>
  </si>
  <si>
    <t>Infrastructure-as-Code (IaC) approach is used to manage the configuration of an application</t>
  </si>
  <si>
    <t>Infrastructure configuration standards are defined but not formalized (i.e., recommendations or legacy settings rather than standards).</t>
  </si>
  <si>
    <t>Configuration standards for applications under development exist but are not formalized (i.e., recommendations or legacy settings rather than formal standards).</t>
  </si>
  <si>
    <t>Handling of security defects in applications under development is performed as needed (ad hoc) and lacks a formal process</t>
  </si>
  <si>
    <t>Auditor comments</t>
  </si>
  <si>
    <t>DAF pyramid maturity Levels — Allocation of Practice Groups</t>
  </si>
  <si>
    <t>Manifests security management (k8s, terraform etc)</t>
  </si>
  <si>
    <t>The guidance on completing the form are available in our GitHub repository</t>
  </si>
  <si>
    <t>To be filled</t>
  </si>
  <si>
    <t>Practice ID</t>
  </si>
  <si>
    <t>Subdomain ID</t>
  </si>
  <si>
    <t>Domain "Control of artifacts, dependencies, and images"</t>
  </si>
  <si>
    <t>Model</t>
  </si>
  <si>
    <t>Control of artifacts, dependencies, and images</t>
  </si>
  <si>
    <t>Domain "Development environment security"</t>
  </si>
  <si>
    <t>Domain "Tool-Based security defects detection and analysis"</t>
  </si>
  <si>
    <t>Domain "Runtime application analysis (Pre-Prod environment)"</t>
  </si>
  <si>
    <t>Domain "Applications &amp; infrastructure security (Runtime in the production environment)"</t>
  </si>
  <si>
    <t>Domain "Training and knowledge management"</t>
  </si>
  <si>
    <t>Domain "Software security requirements management"</t>
  </si>
  <si>
    <t>Domain "Security defects management"</t>
  </si>
  <si>
    <t>Domain "DSO process effectiveness management"</t>
  </si>
  <si>
    <t>Domain "DSO process roles and responsibilities"</t>
  </si>
  <si>
    <t>Digital signatures are created for all artifacts after security checks have been completed and before they are uploaded to the trusted registry.</t>
  </si>
  <si>
    <t>For each information security defect, a task (ticket) is created in a task management system (e.g., Jira). The remediation of the defect (task completion) is monitored and tracked.</t>
  </si>
  <si>
    <t>Automated hardening of SCM project settings is implemented via APIs or developer platform engineering, with regular state comparison.</t>
  </si>
  <si>
    <t>The use of ‘skip/ignore scan’ inline comments and ignore configuration files (e.g., .aiignore, .gitleaksignore) by security scanners (SAST, SCA, Secrets) is strictly monitored.</t>
  </si>
  <si>
    <t>Before a merge request is submitted, all open branches must be updated to the latest state to ensure consistency and prevent conflicts.</t>
  </si>
  <si>
    <t>Infrastructure components are regularly updated, including the remediation of identified vulnerabilities.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</si>
</sst>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5" x14ac:knownFonts="1">
    <font>
      <sz val="11"/>
      <color theme="1"/>
      <name val="Calibri"/>
      <family val="2"/>
      <charset val="204"/>
      <scheme val="minor"/>
    </font>
    <font>
      <sz val="11"/>
      <color theme="1"/>
      <name val="Calibri"/>
      <family val="2"/>
      <charset val="204"/>
      <scheme val="minor"/>
    </font>
    <font>
      <sz val="11"/>
      <color rgb="FFFF0000"/>
      <name val="Calibri"/>
      <family val="2"/>
      <charset val="204"/>
      <scheme val="minor"/>
    </font>
    <font>
      <sz val="11"/>
      <color theme="1"/>
      <name val="Calibri"/>
      <family val="2"/>
      <scheme val="minor"/>
    </font>
    <font>
      <sz val="12"/>
      <color theme="1"/>
      <name val="Calibri"/>
      <family val="2"/>
      <scheme val="minor"/>
    </font>
    <font>
      <b/>
      <sz val="11"/>
      <color theme="1"/>
      <name val="Segoe UI"/>
      <family val="2"/>
      <charset val="204"/>
    </font>
    <font>
      <sz val="11"/>
      <color theme="1"/>
      <name val="Segoe UI"/>
      <family val="2"/>
      <charset val="204"/>
    </font>
    <font>
      <b/>
      <sz val="12"/>
      <color theme="1"/>
      <name val="Segoe UI"/>
      <family val="2"/>
      <charset val="204"/>
    </font>
    <font>
      <sz val="12"/>
      <color theme="1"/>
      <name val="Segoe UI"/>
      <family val="2"/>
      <charset val="204"/>
    </font>
    <font>
      <b/>
      <sz val="14"/>
      <color theme="1"/>
      <name val="Segoe UI"/>
      <family val="2"/>
      <charset val="204"/>
    </font>
    <font>
      <sz val="18"/>
      <color theme="1"/>
      <name val="Segoe UI"/>
      <family val="2"/>
      <charset val="204"/>
    </font>
    <font>
      <sz val="48"/>
      <color theme="1"/>
      <name val="Segoe UI"/>
      <family val="2"/>
      <charset val="204"/>
    </font>
    <font>
      <sz val="14"/>
      <color theme="1"/>
      <name val="Segoe UI"/>
      <family val="2"/>
      <charset val="204"/>
    </font>
    <font>
      <sz val="11"/>
      <name val="Segoe UI"/>
      <family val="2"/>
      <charset val="204"/>
    </font>
    <font>
      <b/>
      <sz val="11"/>
      <name val="Segoe UI"/>
      <family val="2"/>
      <charset val="204"/>
    </font>
    <font>
      <sz val="10"/>
      <color theme="1"/>
      <name val="Segoe UI"/>
      <family val="2"/>
      <charset val="204"/>
    </font>
    <font>
      <b/>
      <sz val="8"/>
      <color theme="1"/>
      <name val="Segoe UI"/>
      <family val="2"/>
      <charset val="204"/>
    </font>
    <font>
      <b/>
      <sz val="16"/>
      <color theme="0"/>
      <name val="Segoe UI"/>
      <family val="2"/>
      <charset val="204"/>
    </font>
    <font>
      <b/>
      <sz val="11"/>
      <color theme="0"/>
      <name val="Segoe UI"/>
      <family val="2"/>
      <charset val="204"/>
    </font>
    <font>
      <sz val="12"/>
      <color theme="1"/>
      <name val="Calibri"/>
      <family val="2"/>
      <charset val="204"/>
      <scheme val="minor"/>
    </font>
    <font>
      <b/>
      <sz val="11"/>
      <color theme="1"/>
      <name val="Segoe UI"/>
      <family val="2"/>
    </font>
    <font>
      <sz val="11"/>
      <color theme="1"/>
      <name val="Segoe UI"/>
      <family val="2"/>
    </font>
    <font>
      <u/>
      <sz val="11"/>
      <color theme="10"/>
      <name val="Calibri"/>
      <family val="2"/>
      <charset val="204"/>
      <scheme val="minor"/>
    </font>
    <font>
      <b/>
      <u/>
      <sz val="14"/>
      <color theme="10"/>
      <name val="Calibri"/>
      <family val="2"/>
      <scheme val="minor"/>
    </font>
    <font>
      <b/>
      <sz val="10"/>
      <color theme="1"/>
      <name val="Segoe UI"/>
      <family val="2"/>
      <charset val="204"/>
    </font>
  </fonts>
  <fills count="29">
    <fill>
      <patternFill patternType="none"/>
    </fill>
    <fill>
      <patternFill patternType="gray125"/>
    </fill>
    <fill>
      <patternFill patternType="solid">
        <fgColor theme="7" tint="0.79998168889431442"/>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00C3FF"/>
        <bgColor indexed="64"/>
      </patternFill>
    </fill>
    <fill>
      <patternFill patternType="solid">
        <fgColor theme="3" tint="-0.249977111117893"/>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1"/>
        <bgColor indexed="64"/>
      </patternFill>
    </fill>
    <fill>
      <patternFill patternType="solid">
        <fgColor rgb="FFC9F2FF"/>
        <bgColor indexed="64"/>
      </patternFill>
    </fill>
    <fill>
      <patternFill patternType="solid">
        <fgColor rgb="FFFCE4D6"/>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theme="0"/>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theme="0"/>
      </left>
      <right style="thin">
        <color theme="0"/>
      </right>
      <top style="thin">
        <color theme="0"/>
      </top>
      <bottom style="thin">
        <color theme="0"/>
      </bottom>
      <diagonal/>
    </border>
    <border>
      <left style="thin">
        <color indexed="64"/>
      </left>
      <right style="medium">
        <color indexed="64"/>
      </right>
      <top style="medium">
        <color indexed="64"/>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4" fillId="0" borderId="0"/>
    <xf numFmtId="43" fontId="1" fillId="0" borderId="0" applyFont="0" applyFill="0" applyBorder="0" applyAlignment="0" applyProtection="0"/>
    <xf numFmtId="0" fontId="22" fillId="0" borderId="0" applyNumberFormat="0" applyFill="0" applyBorder="0" applyAlignment="0" applyProtection="0"/>
  </cellStyleXfs>
  <cellXfs count="279">
    <xf numFmtId="0" fontId="0" fillId="0" borderId="0" xfId="0"/>
    <xf numFmtId="0" fontId="5" fillId="0" borderId="0" xfId="0" applyFont="1" applyAlignment="1">
      <alignment horizontal="center" vertical="center"/>
    </xf>
    <xf numFmtId="0" fontId="6" fillId="0" borderId="0" xfId="0" applyFont="1"/>
    <xf numFmtId="0" fontId="6" fillId="0" borderId="0" xfId="0" applyFont="1" applyAlignment="1">
      <alignment horizontal="left" vertical="center"/>
    </xf>
    <xf numFmtId="0" fontId="6" fillId="0" borderId="0" xfId="0" applyFont="1" applyAlignment="1">
      <alignment horizontal="left" vertical="center" wrapText="1"/>
    </xf>
    <xf numFmtId="0" fontId="8" fillId="0" borderId="0" xfId="0" applyFont="1"/>
    <xf numFmtId="0" fontId="8" fillId="0" borderId="0" xfId="0" applyFont="1" applyAlignment="1">
      <alignment horizontal="center" vertical="center"/>
    </xf>
    <xf numFmtId="0" fontId="6" fillId="0" borderId="0" xfId="0" applyFont="1" applyAlignment="1">
      <alignment horizontal="center" vertical="center"/>
    </xf>
    <xf numFmtId="0" fontId="7" fillId="3" borderId="2" xfId="0" applyFont="1" applyFill="1" applyBorder="1" applyAlignment="1">
      <alignment horizontal="center" vertical="center" wrapText="1"/>
    </xf>
    <xf numFmtId="0" fontId="8" fillId="12" borderId="1" xfId="0" applyFont="1" applyFill="1" applyBorder="1" applyAlignment="1">
      <alignment horizontal="left" vertical="center"/>
    </xf>
    <xf numFmtId="9" fontId="8" fillId="2" borderId="1" xfId="0" applyNumberFormat="1" applyFont="1" applyFill="1" applyBorder="1" applyAlignment="1">
      <alignment horizontal="center" vertical="center" wrapText="1"/>
    </xf>
    <xf numFmtId="0" fontId="12" fillId="17" borderId="29" xfId="0" applyFont="1" applyFill="1" applyBorder="1" applyAlignment="1">
      <alignment horizontal="center" vertical="center" wrapText="1"/>
    </xf>
    <xf numFmtId="0" fontId="12" fillId="9" borderId="29" xfId="0" applyFont="1" applyFill="1" applyBorder="1" applyAlignment="1">
      <alignment horizontal="center" vertical="center" wrapText="1"/>
    </xf>
    <xf numFmtId="0" fontId="12" fillId="10" borderId="29" xfId="0" applyFont="1" applyFill="1" applyBorder="1" applyAlignment="1">
      <alignment horizontal="center" vertical="center" wrapText="1"/>
    </xf>
    <xf numFmtId="0" fontId="12" fillId="16" borderId="29" xfId="0" applyFont="1" applyFill="1" applyBorder="1" applyAlignment="1">
      <alignment horizontal="center" vertical="center" wrapText="1"/>
    </xf>
    <xf numFmtId="0" fontId="12" fillId="5" borderId="29" xfId="0" applyFont="1" applyFill="1" applyBorder="1" applyAlignment="1">
      <alignment horizontal="center" vertical="center" wrapText="1"/>
    </xf>
    <xf numFmtId="0" fontId="12" fillId="6" borderId="29" xfId="0" applyFont="1" applyFill="1" applyBorder="1" applyAlignment="1">
      <alignment horizontal="center" vertical="center" wrapText="1"/>
    </xf>
    <xf numFmtId="0" fontId="12" fillId="15" borderId="30" xfId="0" applyFont="1" applyFill="1" applyBorder="1" applyAlignment="1">
      <alignment horizontal="center" vertical="center" wrapText="1"/>
    </xf>
    <xf numFmtId="0" fontId="8" fillId="0" borderId="0" xfId="0" applyFont="1" applyAlignment="1">
      <alignment vertical="center"/>
    </xf>
    <xf numFmtId="0" fontId="8" fillId="9" borderId="1" xfId="0" applyFont="1" applyFill="1" applyBorder="1" applyAlignment="1">
      <alignment horizontal="left" vertical="center" wrapText="1"/>
    </xf>
    <xf numFmtId="0" fontId="8" fillId="9" borderId="18" xfId="0" applyFont="1" applyFill="1" applyBorder="1" applyAlignment="1">
      <alignment horizontal="left" vertical="center" wrapText="1"/>
    </xf>
    <xf numFmtId="9" fontId="8" fillId="2" borderId="18" xfId="0" applyNumberFormat="1" applyFont="1" applyFill="1" applyBorder="1" applyAlignment="1">
      <alignment horizontal="center" vertical="center" wrapText="1"/>
    </xf>
    <xf numFmtId="10" fontId="6" fillId="0" borderId="0" xfId="0" applyNumberFormat="1" applyFont="1" applyAlignment="1">
      <alignment horizontal="center" vertical="center"/>
    </xf>
    <xf numFmtId="9" fontId="9" fillId="22" borderId="40" xfId="2" applyFont="1" applyFill="1" applyBorder="1" applyAlignment="1">
      <alignment horizontal="center" vertical="center" wrapText="1"/>
    </xf>
    <xf numFmtId="49" fontId="9" fillId="22" borderId="38"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1" fontId="13" fillId="0" borderId="1" xfId="2" applyNumberFormat="1" applyFont="1" applyFill="1" applyBorder="1" applyAlignment="1">
      <alignment horizontal="center" vertical="center" wrapText="1"/>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wrapText="1"/>
    </xf>
    <xf numFmtId="1" fontId="13" fillId="0" borderId="1" xfId="0" applyNumberFormat="1" applyFont="1" applyBorder="1" applyAlignment="1">
      <alignment horizontal="center" vertical="center" wrapText="1"/>
    </xf>
    <xf numFmtId="0" fontId="13" fillId="0" borderId="1" xfId="0" applyFont="1" applyBorder="1" applyAlignment="1">
      <alignment wrapText="1"/>
    </xf>
    <xf numFmtId="0" fontId="13" fillId="0" borderId="1" xfId="0" applyFont="1" applyBorder="1" applyAlignment="1">
      <alignment horizontal="left" wrapText="1"/>
    </xf>
    <xf numFmtId="0" fontId="6" fillId="0" borderId="1" xfId="0" applyFont="1" applyBorder="1"/>
    <xf numFmtId="0" fontId="13" fillId="0" borderId="1" xfId="0" applyFont="1" applyBorder="1" applyAlignment="1">
      <alignment horizontal="center" vertical="center"/>
    </xf>
    <xf numFmtId="9" fontId="13" fillId="0" borderId="1" xfId="0" applyNumberFormat="1" applyFont="1" applyBorder="1" applyAlignment="1">
      <alignment horizontal="center" vertical="center" wrapText="1"/>
    </xf>
    <xf numFmtId="9" fontId="13" fillId="0" borderId="1" xfId="2" applyFont="1" applyFill="1" applyBorder="1" applyAlignment="1">
      <alignment horizontal="center" vertical="center" wrapText="1"/>
    </xf>
    <xf numFmtId="0" fontId="13" fillId="0" borderId="0" xfId="0" applyFont="1" applyAlignment="1">
      <alignment vertical="center" wrapText="1"/>
    </xf>
    <xf numFmtId="0" fontId="14" fillId="0" borderId="0" xfId="0" applyFont="1" applyAlignment="1">
      <alignment horizontal="center" vertical="center" wrapText="1"/>
    </xf>
    <xf numFmtId="0" fontId="13" fillId="0" borderId="0" xfId="0" applyFont="1" applyAlignment="1">
      <alignment horizontal="left" vertical="center" wrapText="1"/>
    </xf>
    <xf numFmtId="1" fontId="13" fillId="0" borderId="0" xfId="0" applyNumberFormat="1" applyFont="1" applyAlignment="1">
      <alignment horizontal="center" vertical="center" wrapText="1"/>
    </xf>
    <xf numFmtId="9" fontId="13" fillId="0" borderId="0" xfId="2" applyFont="1" applyFill="1" applyAlignment="1">
      <alignment vertical="center" wrapText="1"/>
    </xf>
    <xf numFmtId="49" fontId="13" fillId="0" borderId="0" xfId="0" applyNumberFormat="1" applyFont="1" applyAlignment="1">
      <alignment vertical="center" wrapText="1"/>
    </xf>
    <xf numFmtId="9" fontId="13" fillId="0" borderId="0" xfId="2" applyFont="1" applyFill="1" applyAlignment="1">
      <alignment horizontal="center" vertical="center" wrapText="1"/>
    </xf>
    <xf numFmtId="1" fontId="13" fillId="0" borderId="0" xfId="0" applyNumberFormat="1" applyFont="1" applyAlignment="1">
      <alignment horizontal="center" wrapText="1"/>
    </xf>
    <xf numFmtId="49" fontId="13" fillId="0" borderId="0" xfId="0" applyNumberFormat="1" applyFont="1" applyAlignment="1">
      <alignment horizontal="center" vertical="center" wrapText="1"/>
    </xf>
    <xf numFmtId="0" fontId="6" fillId="0" borderId="1" xfId="0" applyFont="1" applyBorder="1" applyAlignment="1">
      <alignment horizontal="center"/>
    </xf>
    <xf numFmtId="0" fontId="6" fillId="0" borderId="0" xfId="0" applyFont="1" applyAlignment="1">
      <alignment horizontal="center"/>
    </xf>
    <xf numFmtId="0" fontId="15" fillId="0" borderId="0" xfId="0" applyFont="1"/>
    <xf numFmtId="1" fontId="15" fillId="0" borderId="0" xfId="0" applyNumberFormat="1" applyFont="1"/>
    <xf numFmtId="0" fontId="15" fillId="0" borderId="0" xfId="0" applyFont="1" applyAlignment="1">
      <alignment horizontal="center"/>
    </xf>
    <xf numFmtId="0" fontId="15" fillId="0" borderId="26" xfId="0" applyFont="1" applyBorder="1"/>
    <xf numFmtId="0" fontId="6" fillId="0" borderId="22" xfId="0" applyFont="1" applyBorder="1"/>
    <xf numFmtId="0" fontId="6" fillId="0" borderId="14" xfId="0" applyFont="1" applyBorder="1"/>
    <xf numFmtId="0" fontId="6" fillId="0" borderId="25" xfId="0" applyFont="1" applyBorder="1"/>
    <xf numFmtId="0" fontId="8" fillId="0" borderId="1" xfId="0" applyFont="1" applyFill="1" applyBorder="1" applyAlignment="1">
      <alignment horizontal="left" vertical="center"/>
    </xf>
    <xf numFmtId="0" fontId="8" fillId="0" borderId="1" xfId="0" applyFont="1" applyFill="1" applyBorder="1" applyAlignment="1">
      <alignment horizontal="left" vertical="center" wrapText="1"/>
    </xf>
    <xf numFmtId="2" fontId="6" fillId="0" borderId="1" xfId="0" applyNumberFormat="1" applyFont="1" applyBorder="1" applyAlignment="1">
      <alignment horizontal="center"/>
    </xf>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6" fillId="0" borderId="12" xfId="0" applyFont="1" applyBorder="1" applyAlignment="1">
      <alignment horizontal="left" vertical="center" wrapText="1"/>
    </xf>
    <xf numFmtId="0" fontId="6" fillId="0" borderId="12" xfId="0" applyFont="1" applyBorder="1"/>
    <xf numFmtId="0" fontId="6" fillId="0" borderId="13" xfId="0" applyFont="1" applyBorder="1"/>
    <xf numFmtId="0" fontId="6" fillId="0" borderId="7" xfId="0" applyFont="1" applyBorder="1"/>
    <xf numFmtId="0" fontId="6" fillId="0" borderId="20" xfId="0" applyFont="1" applyBorder="1"/>
    <xf numFmtId="0" fontId="6" fillId="0" borderId="14" xfId="0" applyFont="1" applyBorder="1" applyAlignment="1">
      <alignment horizontal="left" vertical="center" wrapText="1"/>
    </xf>
    <xf numFmtId="49" fontId="6" fillId="0" borderId="0" xfId="0" applyNumberFormat="1" applyFont="1"/>
    <xf numFmtId="0" fontId="6" fillId="0" borderId="21" xfId="0" applyFont="1" applyBorder="1"/>
    <xf numFmtId="0" fontId="9" fillId="7" borderId="1" xfId="0" applyFont="1" applyFill="1" applyBorder="1" applyAlignment="1">
      <alignment horizontal="center" vertical="center" wrapText="1"/>
    </xf>
    <xf numFmtId="0" fontId="6" fillId="0" borderId="1" xfId="4" applyFont="1" applyBorder="1" applyAlignment="1">
      <alignment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18" borderId="47" xfId="0" applyFont="1" applyFill="1" applyBorder="1" applyAlignment="1">
      <alignment horizontal="center" vertical="center"/>
    </xf>
    <xf numFmtId="0" fontId="6" fillId="18" borderId="34" xfId="0" applyFont="1" applyFill="1" applyBorder="1" applyAlignment="1">
      <alignment horizontal="center" vertical="center"/>
    </xf>
    <xf numFmtId="0" fontId="6" fillId="18" borderId="48" xfId="0" applyFont="1" applyFill="1" applyBorder="1" applyAlignment="1">
      <alignment horizontal="center" vertical="center"/>
    </xf>
    <xf numFmtId="0" fontId="15" fillId="0" borderId="0" xfId="0" applyFont="1" applyBorder="1"/>
    <xf numFmtId="9" fontId="13" fillId="0" borderId="1" xfId="2" applyFont="1" applyFill="1" applyBorder="1" applyAlignment="1">
      <alignment horizontal="center" vertical="center" wrapText="1"/>
    </xf>
    <xf numFmtId="0" fontId="6" fillId="0" borderId="7"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7" xfId="0" applyFont="1" applyBorder="1" applyAlignment="1">
      <alignment horizontal="center" vertical="center"/>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13" fillId="0" borderId="0" xfId="0" applyFont="1" applyBorder="1" applyAlignment="1">
      <alignment horizontal="center" vertical="center" wrapText="1"/>
    </xf>
    <xf numFmtId="43" fontId="13" fillId="0" borderId="0" xfId="1" applyFont="1" applyFill="1" applyBorder="1" applyAlignment="1">
      <alignment horizontal="center" wrapText="1"/>
    </xf>
    <xf numFmtId="0" fontId="13" fillId="0" borderId="0" xfId="0" applyFont="1" applyBorder="1" applyAlignment="1">
      <alignment horizontal="center" wrapText="1"/>
    </xf>
    <xf numFmtId="1" fontId="13" fillId="0" borderId="1" xfId="2" applyNumberFormat="1" applyFont="1" applyFill="1" applyBorder="1" applyAlignment="1">
      <alignment horizontal="center" vertical="center" wrapText="1"/>
    </xf>
    <xf numFmtId="0" fontId="13" fillId="0" borderId="1" xfId="2" applyNumberFormat="1" applyFont="1" applyFill="1" applyBorder="1" applyAlignment="1">
      <alignment horizontal="center" vertical="center" wrapText="1"/>
    </xf>
    <xf numFmtId="0" fontId="13" fillId="0" borderId="1" xfId="3" applyFont="1" applyBorder="1" applyAlignment="1">
      <alignment vertical="center" wrapText="1"/>
    </xf>
    <xf numFmtId="11" fontId="6" fillId="0" borderId="1" xfId="0" applyNumberFormat="1" applyFont="1" applyBorder="1" applyAlignment="1">
      <alignment vertical="center"/>
    </xf>
    <xf numFmtId="0" fontId="8" fillId="0" borderId="18" xfId="0" applyFont="1" applyFill="1" applyBorder="1" applyAlignment="1">
      <alignment horizontal="left" vertical="center" wrapText="1"/>
    </xf>
    <xf numFmtId="0" fontId="18" fillId="26" borderId="50" xfId="0" applyFont="1" applyFill="1" applyBorder="1" applyAlignment="1">
      <alignment horizontal="center" vertical="center" wrapText="1"/>
    </xf>
    <xf numFmtId="0" fontId="16" fillId="0" borderId="1" xfId="0" applyFont="1" applyBorder="1" applyAlignment="1">
      <alignment horizontal="center" vertical="center"/>
    </xf>
    <xf numFmtId="0" fontId="6" fillId="0" borderId="1" xfId="0" applyFont="1" applyBorder="1" applyAlignment="1">
      <alignment horizontal="left" vertical="center"/>
    </xf>
    <xf numFmtId="0" fontId="6" fillId="0" borderId="0" xfId="0" applyFont="1" applyAlignment="1">
      <alignment horizontal="left"/>
    </xf>
    <xf numFmtId="0" fontId="12" fillId="17"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15" borderId="18" xfId="0" applyFont="1" applyFill="1" applyBorder="1" applyAlignment="1">
      <alignment horizontal="center" vertical="center" wrapText="1"/>
    </xf>
    <xf numFmtId="0" fontId="6" fillId="13" borderId="1" xfId="0" applyFont="1" applyFill="1" applyBorder="1" applyAlignment="1">
      <alignment vertical="center"/>
    </xf>
    <xf numFmtId="9" fontId="8" fillId="0" borderId="1" xfId="0" applyNumberFormat="1" applyFont="1" applyFill="1" applyBorder="1" applyAlignment="1">
      <alignment horizontal="center" vertical="center" wrapText="1"/>
    </xf>
    <xf numFmtId="9" fontId="8" fillId="0" borderId="18" xfId="0" applyNumberFormat="1" applyFont="1" applyFill="1" applyBorder="1" applyAlignment="1">
      <alignment horizontal="center" vertical="center" wrapText="1"/>
    </xf>
    <xf numFmtId="9" fontId="12" fillId="0" borderId="1" xfId="0" applyNumberFormat="1" applyFont="1" applyFill="1" applyBorder="1" applyAlignment="1">
      <alignment horizontal="center" vertical="center" wrapText="1"/>
    </xf>
    <xf numFmtId="9" fontId="12" fillId="0" borderId="18" xfId="0" applyNumberFormat="1" applyFont="1" applyFill="1" applyBorder="1" applyAlignment="1">
      <alignment horizontal="center" vertical="center" wrapText="1"/>
    </xf>
    <xf numFmtId="49" fontId="9" fillId="22" borderId="51" xfId="0" applyNumberFormat="1" applyFont="1" applyFill="1" applyBorder="1" applyAlignment="1">
      <alignment horizontal="center" vertical="center" wrapText="1"/>
    </xf>
    <xf numFmtId="49" fontId="9" fillId="22" borderId="49" xfId="0" applyNumberFormat="1" applyFont="1" applyFill="1" applyBorder="1" applyAlignment="1">
      <alignment horizontal="center" vertical="center" wrapText="1"/>
    </xf>
    <xf numFmtId="9" fontId="8" fillId="0" borderId="1" xfId="0" applyNumberFormat="1" applyFont="1" applyFill="1" applyBorder="1" applyAlignment="1">
      <alignment horizontal="center" vertical="center"/>
    </xf>
    <xf numFmtId="9" fontId="8" fillId="0" borderId="18" xfId="0" applyNumberFormat="1" applyFont="1" applyFill="1" applyBorder="1" applyAlignment="1">
      <alignment horizontal="center" vertical="center"/>
    </xf>
    <xf numFmtId="0" fontId="18" fillId="26" borderId="5" xfId="0" applyFont="1" applyFill="1" applyBorder="1" applyAlignment="1">
      <alignment horizontal="center" vertical="center" wrapText="1"/>
    </xf>
    <xf numFmtId="0" fontId="18" fillId="26" borderId="35" xfId="0" applyFont="1" applyFill="1" applyBorder="1" applyAlignment="1">
      <alignment horizontal="center" vertical="center" wrapText="1"/>
    </xf>
    <xf numFmtId="0" fontId="18" fillId="26" borderId="45" xfId="0" applyFont="1" applyFill="1" applyBorder="1" applyAlignment="1">
      <alignment horizontal="center" vertical="center" wrapText="1"/>
    </xf>
    <xf numFmtId="0" fontId="18" fillId="26" borderId="46" xfId="0" applyFont="1" applyFill="1" applyBorder="1" applyAlignment="1">
      <alignment horizontal="center" vertical="center" wrapText="1"/>
    </xf>
    <xf numFmtId="0" fontId="18" fillId="26" borderId="44"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18" fillId="26" borderId="15" xfId="0" applyFont="1" applyFill="1" applyBorder="1" applyAlignment="1">
      <alignment horizontal="center" vertical="center" wrapText="1"/>
    </xf>
    <xf numFmtId="0" fontId="18" fillId="26" borderId="43" xfId="0" applyFont="1" applyFill="1" applyBorder="1" applyAlignment="1">
      <alignment horizontal="center" vertical="center" wrapText="1"/>
    </xf>
    <xf numFmtId="9" fontId="6" fillId="0" borderId="1" xfId="0" applyNumberFormat="1" applyFont="1" applyBorder="1" applyAlignment="1">
      <alignment horizontal="center" vertical="center"/>
    </xf>
    <xf numFmtId="0" fontId="13" fillId="0" borderId="17" xfId="0" applyFont="1" applyBorder="1" applyAlignment="1">
      <alignment horizontal="left" vertical="center" wrapText="1"/>
    </xf>
    <xf numFmtId="0" fontId="13" fillId="0" borderId="17" xfId="0" applyFont="1" applyBorder="1" applyAlignment="1">
      <alignment vertical="center" wrapText="1"/>
    </xf>
    <xf numFmtId="0" fontId="13" fillId="0" borderId="18" xfId="0" applyFont="1" applyBorder="1" applyAlignment="1">
      <alignment vertical="center" wrapText="1"/>
    </xf>
    <xf numFmtId="0" fontId="13" fillId="0" borderId="18" xfId="0" applyFont="1" applyBorder="1" applyAlignment="1">
      <alignment horizontal="center" vertical="center" wrapText="1"/>
    </xf>
    <xf numFmtId="1" fontId="13" fillId="0" borderId="18" xfId="2" applyNumberFormat="1" applyFont="1" applyFill="1" applyBorder="1" applyAlignment="1">
      <alignment horizontal="center" vertical="center" wrapText="1"/>
    </xf>
    <xf numFmtId="49" fontId="13" fillId="0" borderId="18" xfId="0" applyNumberFormat="1" applyFont="1" applyBorder="1" applyAlignment="1">
      <alignment horizontal="center" vertical="center" wrapText="1"/>
    </xf>
    <xf numFmtId="0" fontId="13" fillId="0" borderId="19" xfId="0" applyFont="1" applyBorder="1" applyAlignment="1">
      <alignment vertical="center" wrapText="1"/>
    </xf>
    <xf numFmtId="0" fontId="6" fillId="0" borderId="0" xfId="0" applyFont="1" applyAlignment="1">
      <alignment wrapText="1"/>
    </xf>
    <xf numFmtId="0" fontId="6" fillId="0" borderId="0" xfId="0" applyFont="1" applyBorder="1" applyAlignment="1">
      <alignment horizontal="left" vertical="center" wrapText="1"/>
    </xf>
    <xf numFmtId="0" fontId="6" fillId="0" borderId="0" xfId="0" applyFont="1" applyBorder="1"/>
    <xf numFmtId="0" fontId="18" fillId="26" borderId="52" xfId="0" applyFont="1" applyFill="1" applyBorder="1" applyAlignment="1">
      <alignment horizontal="center" vertical="center" wrapText="1"/>
    </xf>
    <xf numFmtId="0" fontId="18" fillId="26" borderId="53"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5" fillId="24" borderId="4" xfId="0" applyFont="1" applyFill="1" applyBorder="1" applyAlignment="1">
      <alignment horizontal="center" vertical="center" wrapText="1"/>
    </xf>
    <xf numFmtId="0" fontId="5" fillId="25"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6" fillId="27"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19" borderId="1" xfId="0" applyFont="1" applyFill="1" applyBorder="1" applyAlignment="1">
      <alignment horizontal="left" vertical="center" wrapText="1"/>
    </xf>
    <xf numFmtId="9" fontId="6" fillId="0" borderId="1" xfId="0" applyNumberFormat="1" applyFont="1" applyBorder="1" applyAlignment="1">
      <alignment horizontal="center" vertical="center" wrapText="1"/>
    </xf>
    <xf numFmtId="0" fontId="5" fillId="7" borderId="1" xfId="0" applyFont="1" applyFill="1" applyBorder="1" applyAlignment="1">
      <alignment horizontal="center"/>
    </xf>
    <xf numFmtId="9" fontId="5" fillId="7" borderId="1" xfId="0" applyNumberFormat="1" applyFont="1" applyFill="1" applyBorder="1" applyAlignment="1">
      <alignment horizontal="center" vertical="center" wrapText="1"/>
    </xf>
    <xf numFmtId="9" fontId="13" fillId="0" borderId="1" xfId="2" applyFont="1" applyFill="1" applyBorder="1" applyAlignment="1">
      <alignment horizontal="center" vertical="center" wrapText="1"/>
    </xf>
    <xf numFmtId="0" fontId="6" fillId="0" borderId="1" xfId="0" applyFont="1" applyBorder="1" applyAlignment="1">
      <alignment horizontal="center" vertical="center"/>
    </xf>
    <xf numFmtId="0" fontId="6" fillId="0" borderId="14" xfId="0" applyFont="1" applyBorder="1" applyAlignment="1"/>
    <xf numFmtId="0" fontId="6" fillId="0" borderId="12" xfId="0" applyFont="1" applyFill="1" applyBorder="1"/>
    <xf numFmtId="0" fontId="6" fillId="0" borderId="0" xfId="0" applyFont="1" applyFill="1" applyBorder="1"/>
    <xf numFmtId="0" fontId="6" fillId="0" borderId="14" xfId="0" applyFont="1" applyFill="1" applyBorder="1"/>
    <xf numFmtId="0" fontId="8" fillId="0" borderId="4" xfId="0" applyFont="1" applyFill="1" applyBorder="1" applyAlignment="1">
      <alignment horizontal="left" vertical="center"/>
    </xf>
    <xf numFmtId="0" fontId="8" fillId="12" borderId="4" xfId="0" applyFont="1" applyFill="1" applyBorder="1" applyAlignment="1">
      <alignment horizontal="left" vertical="center"/>
    </xf>
    <xf numFmtId="0" fontId="12" fillId="14" borderId="37" xfId="0" applyFont="1" applyFill="1" applyBorder="1" applyAlignment="1">
      <alignment horizontal="center" vertical="center" wrapText="1"/>
    </xf>
    <xf numFmtId="0" fontId="12" fillId="14" borderId="4" xfId="0" applyFont="1" applyFill="1" applyBorder="1" applyAlignment="1">
      <alignment horizontal="center" vertical="center" wrapText="1"/>
    </xf>
    <xf numFmtId="9" fontId="12" fillId="0" borderId="4" xfId="0" applyNumberFormat="1" applyFont="1" applyFill="1" applyBorder="1" applyAlignment="1">
      <alignment horizontal="center" vertical="center" wrapText="1"/>
    </xf>
    <xf numFmtId="0" fontId="20" fillId="0" borderId="4" xfId="0" applyFont="1" applyBorder="1" applyAlignment="1">
      <alignment horizontal="left" vertical="center" wrapText="1"/>
    </xf>
    <xf numFmtId="0" fontId="18" fillId="26" borderId="42" xfId="0" applyFont="1" applyFill="1" applyBorder="1" applyAlignment="1">
      <alignment horizontal="center" vertical="center" wrapText="1"/>
    </xf>
    <xf numFmtId="0" fontId="14" fillId="3" borderId="38" xfId="0" applyFont="1" applyFill="1" applyBorder="1" applyAlignment="1">
      <alignment horizontal="center" vertical="center" wrapText="1"/>
    </xf>
    <xf numFmtId="0" fontId="14" fillId="3" borderId="35" xfId="0" applyFont="1" applyFill="1" applyBorder="1" applyAlignment="1">
      <alignment horizontal="center" vertical="center" wrapText="1"/>
    </xf>
    <xf numFmtId="0" fontId="6" fillId="0" borderId="14" xfId="0" applyFont="1" applyBorder="1" applyAlignment="1">
      <alignment horizont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5" fillId="12" borderId="1" xfId="0" applyFont="1" applyFill="1" applyBorder="1" applyAlignment="1">
      <alignment horizontal="center" vertical="center" textRotation="90" wrapText="1"/>
    </xf>
    <xf numFmtId="0" fontId="5" fillId="9" borderId="1" xfId="0" applyFont="1" applyFill="1" applyBorder="1" applyAlignment="1">
      <alignment horizontal="center" vertical="center" textRotation="90"/>
    </xf>
    <xf numFmtId="0" fontId="17" fillId="26" borderId="37" xfId="0" applyFont="1" applyFill="1" applyBorder="1" applyAlignment="1">
      <alignment horizontal="center" vertical="center" textRotation="90"/>
    </xf>
    <xf numFmtId="0" fontId="17" fillId="26" borderId="29" xfId="0" applyFont="1" applyFill="1" applyBorder="1" applyAlignment="1">
      <alignment horizontal="center" vertical="center" textRotation="90"/>
    </xf>
    <xf numFmtId="0" fontId="17" fillId="26" borderId="36" xfId="0" applyFont="1" applyFill="1" applyBorder="1" applyAlignment="1">
      <alignment horizontal="center" vertical="center" textRotation="90"/>
    </xf>
    <xf numFmtId="0" fontId="17" fillId="26" borderId="41" xfId="0" applyFont="1" applyFill="1" applyBorder="1" applyAlignment="1">
      <alignment horizontal="center" vertical="center" textRotation="90"/>
    </xf>
    <xf numFmtId="0" fontId="17" fillId="26" borderId="30" xfId="0" applyFont="1" applyFill="1" applyBorder="1" applyAlignment="1">
      <alignment horizontal="center" vertical="center" textRotation="90"/>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2" xfId="0" applyFont="1" applyBorder="1" applyAlignment="1">
      <alignment horizontal="left" vertical="center" wrapText="1"/>
    </xf>
    <xf numFmtId="0" fontId="8" fillId="0" borderId="18" xfId="0" applyFont="1" applyBorder="1" applyAlignment="1">
      <alignment horizontal="left" vertical="center" wrapText="1"/>
    </xf>
    <xf numFmtId="0" fontId="23" fillId="0" borderId="8" xfId="6" applyFont="1" applyBorder="1" applyAlignment="1">
      <alignment horizontal="center" vertical="center"/>
    </xf>
    <xf numFmtId="0" fontId="23" fillId="0" borderId="9" xfId="6" applyFont="1" applyBorder="1" applyAlignment="1">
      <alignment horizontal="center" vertical="center"/>
    </xf>
    <xf numFmtId="0" fontId="23" fillId="0" borderId="10" xfId="6" applyFont="1" applyBorder="1" applyAlignment="1">
      <alignment horizontal="center" vertical="center"/>
    </xf>
    <xf numFmtId="49" fontId="9" fillId="22" borderId="55" xfId="0" applyNumberFormat="1" applyFont="1" applyFill="1" applyBorder="1" applyAlignment="1">
      <alignment horizontal="center" vertical="center" wrapText="1"/>
    </xf>
    <xf numFmtId="49" fontId="9" fillId="22" borderId="40" xfId="0" applyNumberFormat="1" applyFont="1" applyFill="1" applyBorder="1" applyAlignment="1">
      <alignment horizontal="center" vertical="center" wrapText="1"/>
    </xf>
    <xf numFmtId="0" fontId="11" fillId="0" borderId="54" xfId="0" applyFont="1" applyBorder="1" applyAlignment="1">
      <alignment horizontal="center" vertical="center"/>
    </xf>
    <xf numFmtId="0" fontId="11" fillId="0" borderId="17" xfId="0" applyFont="1" applyBorder="1" applyAlignment="1">
      <alignment horizontal="center" vertical="center"/>
    </xf>
    <xf numFmtId="0" fontId="11" fillId="0" borderId="19" xfId="0" applyFont="1" applyBorder="1" applyAlignment="1">
      <alignment horizontal="center" vertical="center"/>
    </xf>
    <xf numFmtId="0" fontId="21" fillId="0" borderId="11" xfId="0" applyFont="1" applyFill="1" applyBorder="1" applyAlignment="1">
      <alignment horizontal="left" vertical="center" wrapText="1"/>
    </xf>
    <xf numFmtId="0" fontId="6" fillId="0" borderId="12" xfId="0" applyFont="1" applyFill="1" applyBorder="1" applyAlignment="1">
      <alignment horizontal="left" vertical="center" wrapText="1"/>
    </xf>
    <xf numFmtId="0" fontId="6" fillId="0" borderId="13" xfId="0" applyFont="1" applyFill="1" applyBorder="1" applyAlignment="1">
      <alignment horizontal="left" vertical="center" wrapText="1"/>
    </xf>
    <xf numFmtId="0" fontId="6" fillId="0" borderId="23" xfId="0"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2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14" xfId="0" applyFont="1" applyFill="1" applyBorder="1" applyAlignment="1">
      <alignment horizontal="left" vertical="center" wrapText="1"/>
    </xf>
    <xf numFmtId="0" fontId="6" fillId="0" borderId="25" xfId="0" applyFont="1" applyFill="1" applyBorder="1" applyAlignment="1">
      <alignment horizontal="left" vertical="center" wrapText="1"/>
    </xf>
    <xf numFmtId="9" fontId="10" fillId="26" borderId="1" xfId="2" applyFont="1" applyFill="1" applyBorder="1" applyAlignment="1">
      <alignment horizontal="center" vertical="center" wrapText="1"/>
    </xf>
    <xf numFmtId="9" fontId="11" fillId="23" borderId="17" xfId="2" applyFont="1" applyFill="1" applyBorder="1" applyAlignment="1">
      <alignment horizontal="center" vertical="center" wrapText="1"/>
    </xf>
    <xf numFmtId="9" fontId="11" fillId="23" borderId="19" xfId="2" applyFont="1" applyFill="1" applyBorder="1" applyAlignment="1">
      <alignment horizontal="center" vertical="center" wrapText="1"/>
    </xf>
    <xf numFmtId="9" fontId="10" fillId="26" borderId="18" xfId="2" applyFont="1" applyFill="1" applyBorder="1" applyAlignment="1">
      <alignment horizontal="center" vertical="center" wrapText="1"/>
    </xf>
    <xf numFmtId="49" fontId="9" fillId="22" borderId="8" xfId="0" applyNumberFormat="1" applyFont="1" applyFill="1" applyBorder="1" applyAlignment="1">
      <alignment horizontal="center" vertical="center" wrapText="1"/>
    </xf>
    <xf numFmtId="49" fontId="9" fillId="22" borderId="9" xfId="0" applyNumberFormat="1" applyFont="1" applyFill="1" applyBorder="1" applyAlignment="1">
      <alignment horizontal="center" vertical="center" wrapText="1"/>
    </xf>
    <xf numFmtId="49" fontId="9" fillId="22" borderId="39" xfId="0" applyNumberFormat="1" applyFont="1" applyFill="1" applyBorder="1" applyAlignment="1">
      <alignment horizontal="center" vertical="center" wrapText="1"/>
    </xf>
    <xf numFmtId="9" fontId="13" fillId="0" borderId="1" xfId="0" applyNumberFormat="1" applyFont="1" applyBorder="1" applyAlignment="1">
      <alignment horizontal="center" vertical="center" wrapText="1"/>
    </xf>
    <xf numFmtId="1" fontId="13" fillId="0" borderId="1" xfId="2" applyNumberFormat="1" applyFont="1" applyFill="1" applyBorder="1" applyAlignment="1">
      <alignment horizontal="center" vertical="center" wrapText="1"/>
    </xf>
    <xf numFmtId="0" fontId="14" fillId="5" borderId="1" xfId="0" applyFont="1" applyFill="1" applyBorder="1" applyAlignment="1">
      <alignment horizontal="left" vertical="center" wrapText="1" indent="15"/>
    </xf>
    <xf numFmtId="0" fontId="14" fillId="10" borderId="1" xfId="0" applyFont="1" applyFill="1" applyBorder="1" applyAlignment="1">
      <alignment horizontal="left" vertical="center" wrapText="1" indent="15"/>
    </xf>
    <xf numFmtId="0" fontId="14" fillId="2" borderId="1" xfId="0" applyFont="1" applyFill="1" applyBorder="1" applyAlignment="1">
      <alignment horizontal="left" vertical="center" wrapText="1" indent="15"/>
    </xf>
    <xf numFmtId="9" fontId="13" fillId="0" borderId="1" xfId="2" applyFont="1" applyFill="1" applyBorder="1" applyAlignment="1">
      <alignment horizontal="center" vertical="center" wrapText="1"/>
    </xf>
    <xf numFmtId="0" fontId="14" fillId="5" borderId="37" xfId="0" applyFont="1" applyFill="1" applyBorder="1" applyAlignment="1">
      <alignment horizontal="left" vertical="center" wrapText="1" indent="15"/>
    </xf>
    <xf numFmtId="0" fontId="14" fillId="5" borderId="4" xfId="0" applyFont="1" applyFill="1" applyBorder="1" applyAlignment="1">
      <alignment horizontal="left" vertical="center" wrapText="1" indent="15"/>
    </xf>
    <xf numFmtId="0" fontId="14" fillId="5" borderId="54" xfId="0" applyFont="1" applyFill="1" applyBorder="1" applyAlignment="1">
      <alignment horizontal="left" vertical="center" wrapText="1" indent="15"/>
    </xf>
    <xf numFmtId="0" fontId="14" fillId="11" borderId="1" xfId="0" applyFont="1" applyFill="1" applyBorder="1" applyAlignment="1">
      <alignment horizontal="left" vertical="center" wrapText="1" indent="15"/>
    </xf>
    <xf numFmtId="0" fontId="14" fillId="20" borderId="1" xfId="0" applyFont="1" applyFill="1" applyBorder="1" applyAlignment="1">
      <alignment horizontal="left" vertical="center" wrapText="1" indent="15"/>
    </xf>
    <xf numFmtId="0" fontId="14" fillId="9" borderId="1" xfId="0" applyFont="1" applyFill="1" applyBorder="1" applyAlignment="1">
      <alignment horizontal="left" vertical="center" wrapText="1" indent="15"/>
    </xf>
    <xf numFmtId="9" fontId="13" fillId="0" borderId="18" xfId="2" applyFont="1" applyFill="1" applyBorder="1" applyAlignment="1">
      <alignment horizontal="center" vertical="center" wrapText="1"/>
    </xf>
    <xf numFmtId="0" fontId="14" fillId="0" borderId="1" xfId="0" applyFont="1" applyBorder="1" applyAlignment="1">
      <alignment horizontal="center" vertical="center" wrapText="1"/>
    </xf>
    <xf numFmtId="0" fontId="13" fillId="0" borderId="1" xfId="2" applyNumberFormat="1" applyFont="1" applyFill="1" applyBorder="1" applyAlignment="1">
      <alignment horizontal="center" vertical="center" wrapText="1"/>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9" fontId="13" fillId="0" borderId="2" xfId="0" applyNumberFormat="1" applyFont="1" applyBorder="1" applyAlignment="1">
      <alignment horizontal="center" vertical="center" wrapText="1"/>
    </xf>
    <xf numFmtId="9" fontId="13" fillId="0" borderId="3" xfId="0" applyNumberFormat="1" applyFont="1" applyBorder="1" applyAlignment="1">
      <alignment horizontal="center" vertical="center" wrapText="1"/>
    </xf>
    <xf numFmtId="9" fontId="13" fillId="0" borderId="4" xfId="0" applyNumberFormat="1" applyFont="1" applyBorder="1" applyAlignment="1">
      <alignment horizontal="center" vertical="center" wrapText="1"/>
    </xf>
    <xf numFmtId="0" fontId="23" fillId="0" borderId="14" xfId="6" applyFont="1" applyBorder="1" applyAlignment="1">
      <alignment horizontal="center" vertical="center"/>
    </xf>
    <xf numFmtId="0" fontId="5" fillId="22" borderId="8" xfId="0" applyFont="1" applyFill="1" applyBorder="1" applyAlignment="1">
      <alignment horizontal="center" wrapText="1"/>
    </xf>
    <xf numFmtId="0" fontId="5" fillId="22" borderId="9" xfId="0" applyFont="1" applyFill="1" applyBorder="1" applyAlignment="1">
      <alignment horizontal="center" wrapText="1"/>
    </xf>
    <xf numFmtId="0" fontId="5" fillId="22" borderId="10" xfId="0" applyFont="1" applyFill="1" applyBorder="1" applyAlignment="1">
      <alignment horizont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5" fillId="0" borderId="7" xfId="0" applyFont="1" applyBorder="1" applyAlignment="1">
      <alignment horizontal="center" vertical="center"/>
    </xf>
    <xf numFmtId="0" fontId="6" fillId="0" borderId="7"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24" fillId="21" borderId="31" xfId="0" applyFont="1" applyFill="1" applyBorder="1" applyAlignment="1">
      <alignment horizontal="center" vertical="center"/>
    </xf>
    <xf numFmtId="0" fontId="24" fillId="21" borderId="28" xfId="0" applyFont="1" applyFill="1" applyBorder="1" applyAlignment="1">
      <alignment horizontal="center" vertical="center"/>
    </xf>
    <xf numFmtId="0" fontId="24" fillId="21" borderId="27" xfId="0" applyFont="1" applyFill="1" applyBorder="1" applyAlignment="1">
      <alignment horizontal="center" vertical="center"/>
    </xf>
    <xf numFmtId="0" fontId="5" fillId="22" borderId="32" xfId="0" applyFont="1" applyFill="1" applyBorder="1" applyAlignment="1">
      <alignment horizontal="center" vertical="center"/>
    </xf>
    <xf numFmtId="0" fontId="5" fillId="22" borderId="15" xfId="0" applyFont="1" applyFill="1" applyBorder="1" applyAlignment="1">
      <alignment horizontal="center" vertical="center"/>
    </xf>
    <xf numFmtId="0" fontId="5" fillId="22" borderId="33" xfId="0" applyFont="1" applyFill="1" applyBorder="1" applyAlignment="1">
      <alignment horizontal="center" vertical="center"/>
    </xf>
    <xf numFmtId="0" fontId="6" fillId="0" borderId="13" xfId="0" applyFont="1" applyBorder="1" applyAlignment="1">
      <alignment horizontal="left" vertical="center" wrapText="1"/>
    </xf>
    <xf numFmtId="0" fontId="6" fillId="0" borderId="22" xfId="0" applyFont="1" applyBorder="1" applyAlignment="1">
      <alignment horizontal="left" vertical="center" wrapText="1"/>
    </xf>
    <xf numFmtId="0" fontId="6" fillId="0" borderId="25" xfId="0" applyFont="1" applyBorder="1" applyAlignment="1">
      <alignment horizontal="left" vertical="center" wrapText="1"/>
    </xf>
    <xf numFmtId="0" fontId="5" fillId="22" borderId="31" xfId="0" applyFont="1" applyFill="1" applyBorder="1" applyAlignment="1">
      <alignment horizontal="center" vertical="center"/>
    </xf>
    <xf numFmtId="0" fontId="5" fillId="22" borderId="28" xfId="0" applyFont="1" applyFill="1" applyBorder="1" applyAlignment="1">
      <alignment horizontal="center" vertical="center"/>
    </xf>
    <xf numFmtId="0" fontId="5" fillId="22" borderId="27" xfId="0" applyFont="1" applyFill="1" applyBorder="1" applyAlignment="1">
      <alignment horizontal="center" vertical="center"/>
    </xf>
    <xf numFmtId="0" fontId="24" fillId="21" borderId="8" xfId="0" applyFont="1" applyFill="1" applyBorder="1" applyAlignment="1">
      <alignment horizontal="center" vertical="center"/>
    </xf>
    <xf numFmtId="0" fontId="24" fillId="21" borderId="9" xfId="0" applyFont="1" applyFill="1" applyBorder="1" applyAlignment="1">
      <alignment horizontal="center" vertical="center"/>
    </xf>
    <xf numFmtId="0" fontId="24" fillId="21" borderId="10" xfId="0" applyFont="1" applyFill="1" applyBorder="1" applyAlignment="1">
      <alignment horizontal="center" vertical="center"/>
    </xf>
    <xf numFmtId="0" fontId="5" fillId="22" borderId="8" xfId="0" applyFont="1" applyFill="1" applyBorder="1" applyAlignment="1">
      <alignment horizontal="center" vertical="center"/>
    </xf>
    <xf numFmtId="0" fontId="5" fillId="22" borderId="9" xfId="0" applyFont="1" applyFill="1" applyBorder="1" applyAlignment="1">
      <alignment horizontal="center" vertical="center"/>
    </xf>
    <xf numFmtId="0" fontId="5" fillId="22" borderId="10" xfId="0" applyFont="1" applyFill="1" applyBorder="1" applyAlignment="1">
      <alignment horizontal="center" vertical="center"/>
    </xf>
    <xf numFmtId="0" fontId="24" fillId="21" borderId="24" xfId="0" applyFont="1" applyFill="1" applyBorder="1" applyAlignment="1">
      <alignment horizontal="center" vertical="center"/>
    </xf>
    <xf numFmtId="0" fontId="24" fillId="21" borderId="14" xfId="0" applyFont="1" applyFill="1" applyBorder="1" applyAlignment="1">
      <alignment horizontal="center" vertical="center"/>
    </xf>
    <xf numFmtId="0" fontId="24" fillId="21" borderId="25" xfId="0" applyFont="1" applyFill="1" applyBorder="1" applyAlignment="1">
      <alignment horizontal="center" vertical="center"/>
    </xf>
    <xf numFmtId="0" fontId="6" fillId="0" borderId="11"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 xfId="4" applyFont="1" applyBorder="1" applyAlignment="1">
      <alignment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7" fillId="19"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8" borderId="5" xfId="0" applyFont="1" applyFill="1" applyBorder="1" applyAlignment="1">
      <alignment horizontal="center" vertical="center"/>
    </xf>
    <xf numFmtId="0" fontId="9" fillId="28" borderId="15" xfId="0" applyFont="1" applyFill="1" applyBorder="1" applyAlignment="1">
      <alignment horizontal="center" vertical="center"/>
    </xf>
    <xf numFmtId="0" fontId="9" fillId="28" borderId="6" xfId="0" applyFont="1" applyFill="1" applyBorder="1" applyAlignment="1">
      <alignment horizontal="center" vertical="center"/>
    </xf>
    <xf numFmtId="0" fontId="7" fillId="19" borderId="5" xfId="0" applyFont="1" applyFill="1" applyBorder="1" applyAlignment="1">
      <alignment horizontal="center" vertical="center"/>
    </xf>
    <xf numFmtId="0" fontId="7" fillId="19" borderId="15" xfId="0" applyFont="1" applyFill="1" applyBorder="1" applyAlignment="1">
      <alignment horizontal="center" vertical="center"/>
    </xf>
    <xf numFmtId="0" fontId="7" fillId="19" borderId="6" xfId="0" applyFont="1" applyFill="1" applyBorder="1" applyAlignment="1">
      <alignment horizontal="center" vertical="center"/>
    </xf>
    <xf numFmtId="0" fontId="9" fillId="6" borderId="1" xfId="0" applyFont="1" applyFill="1" applyBorder="1" applyAlignment="1">
      <alignment horizontal="center" vertical="center"/>
    </xf>
    <xf numFmtId="0" fontId="9" fillId="8" borderId="1" xfId="0" applyFont="1" applyFill="1" applyBorder="1" applyAlignment="1">
      <alignment horizontal="center" vertical="center"/>
    </xf>
  </cellXfs>
  <cellStyles count="7">
    <cellStyle name="Comma" xfId="1" builtinId="3"/>
    <cellStyle name="Hyperlink" xfId="6" builtinId="8"/>
    <cellStyle name="Normal" xfId="0" builtinId="0"/>
    <cellStyle name="Percent" xfId="2" builtinId="5"/>
    <cellStyle name="Обычный 2" xfId="3" xr:uid="{00000000-0005-0000-0000-000002000000}"/>
    <cellStyle name="Обычный 3" xfId="4" xr:uid="{00000000-0005-0000-0000-000003000000}"/>
    <cellStyle name="Финансовый 2" xfId="5" xr:uid="{00000000-0005-0000-0000-000006000000}"/>
  </cellStyles>
  <dxfs count="295">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rgb="FFFF7C80"/>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rgb="FFFF7C80"/>
        </patternFill>
      </fill>
    </dxf>
    <dxf>
      <fill>
        <patternFill>
          <bgColor theme="5" tint="0.39994506668294322"/>
        </patternFill>
      </fill>
    </dxf>
    <dxf>
      <fill>
        <patternFill>
          <bgColor theme="9" tint="0.39994506668294322"/>
        </patternFill>
      </fill>
    </dxf>
    <dxf>
      <fill>
        <patternFill>
          <bgColor theme="7"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7" tint="0.39994506668294322"/>
        </patternFill>
      </fill>
    </dxf>
    <dxf>
      <fill>
        <patternFill>
          <bgColor theme="9" tint="0.79998168889431442"/>
        </patternFill>
      </fill>
    </dxf>
    <dxf>
      <fill>
        <patternFill>
          <bgColor rgb="FFFF7C80"/>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7" tint="0.39994506668294322"/>
        </patternFill>
      </fill>
    </dxf>
    <dxf>
      <fill>
        <patternFill>
          <bgColor theme="9" tint="0.39994506668294322"/>
        </patternFill>
      </fill>
    </dxf>
    <dxf>
      <fill>
        <patternFill>
          <bgColor theme="9" tint="0.79998168889431442"/>
        </patternFill>
      </fill>
    </dxf>
    <dxf>
      <fill>
        <patternFill>
          <bgColor rgb="FFFF7C80"/>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39994506668294322"/>
        </patternFill>
      </fill>
    </dxf>
    <dxf>
      <fill>
        <patternFill>
          <bgColor theme="9" tint="0.7999816888943144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rgb="FFFF7C80"/>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5"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7" tint="0.39994506668294322"/>
        </patternFill>
      </fill>
    </dxf>
    <dxf>
      <fill>
        <patternFill>
          <bgColor theme="5" tint="0.39994506668294322"/>
        </patternFill>
      </fill>
    </dxf>
    <dxf>
      <fill>
        <patternFill>
          <bgColor theme="9" tint="0.39994506668294322"/>
        </patternFill>
      </fill>
    </dxf>
    <dxf>
      <fill>
        <patternFill>
          <bgColor rgb="FFFF7C80"/>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39994506668294322"/>
        </patternFill>
      </fill>
    </dxf>
    <dxf>
      <fill>
        <patternFill>
          <bgColor theme="9" tint="0.7999816888943144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7" tint="0.39994506668294322"/>
        </patternFill>
      </fill>
    </dxf>
    <dxf>
      <fill>
        <patternFill>
          <bgColor theme="5" tint="0.39994506668294322"/>
        </patternFill>
      </fill>
    </dxf>
    <dxf>
      <fill>
        <patternFill>
          <bgColor rgb="FFFF7C80"/>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39994506668294322"/>
        </patternFill>
      </fill>
    </dxf>
    <dxf>
      <fill>
        <patternFill>
          <bgColor theme="9" tint="0.79998168889431442"/>
        </patternFill>
      </fill>
    </dxf>
    <dxf>
      <fill>
        <patternFill>
          <bgColor rgb="FFFF7C80"/>
        </patternFill>
      </fill>
    </dxf>
    <dxf>
      <fill>
        <patternFill>
          <bgColor theme="5" tint="0.39994506668294322"/>
        </patternFill>
      </fill>
    </dxf>
    <dxf>
      <fill>
        <patternFill>
          <bgColor theme="9" tint="0.79998168889431442"/>
        </patternFill>
      </fill>
    </dxf>
    <dxf>
      <fill>
        <patternFill>
          <bgColor theme="9" tint="0.39994506668294322"/>
        </patternFill>
      </fill>
    </dxf>
    <dxf>
      <fill>
        <patternFill>
          <bgColor theme="7" tint="0.39994506668294322"/>
        </patternFill>
      </fill>
    </dxf>
    <dxf>
      <fill>
        <patternFill>
          <bgColor rgb="FFFF7C80"/>
        </patternFill>
      </fill>
    </dxf>
    <dxf>
      <fill>
        <patternFill>
          <bgColor theme="7" tint="0.39994506668294322"/>
        </patternFill>
      </fill>
    </dxf>
    <dxf>
      <fill>
        <patternFill>
          <bgColor theme="9" tint="0.39994506668294322"/>
        </patternFill>
      </fill>
    </dxf>
    <dxf>
      <fill>
        <patternFill>
          <bgColor theme="5" tint="0.39994506668294322"/>
        </patternFill>
      </fill>
    </dxf>
    <dxf>
      <fill>
        <patternFill>
          <bgColor theme="9" tint="0.7999816888943144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9" tint="0.79998168889431442"/>
        </patternFill>
      </fill>
    </dxf>
    <dxf>
      <fill>
        <patternFill>
          <bgColor theme="9" tint="0.39994506668294322"/>
        </patternFill>
      </fill>
    </dxf>
    <dxf>
      <fill>
        <patternFill>
          <bgColor theme="7" tint="0.39994506668294322"/>
        </patternFill>
      </fill>
    </dxf>
    <dxf>
      <fill>
        <patternFill>
          <bgColor theme="5" tint="0.39994506668294322"/>
        </patternFill>
      </fill>
    </dxf>
    <dxf>
      <fill>
        <patternFill>
          <bgColor rgb="FFFF7C80"/>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theme="5" tint="0.39994506668294322"/>
        </patternFill>
      </fill>
    </dxf>
    <dxf>
      <fill>
        <patternFill>
          <bgColor theme="9" tint="0.7999816888943144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rgb="FFFF7C80"/>
        </patternFill>
      </fill>
    </dxf>
    <dxf>
      <fill>
        <patternFill>
          <bgColor rgb="FFFF7C80"/>
        </patternFill>
      </fill>
    </dxf>
    <dxf>
      <fill>
        <patternFill>
          <bgColor theme="5" tint="0.39994506668294322"/>
        </patternFill>
      </fill>
    </dxf>
    <dxf>
      <fill>
        <patternFill>
          <bgColor theme="9" tint="0.79998168889431442"/>
        </patternFill>
      </fill>
    </dxf>
    <dxf>
      <fill>
        <patternFill>
          <bgColor theme="9" tint="0.39994506668294322"/>
        </patternFill>
      </fill>
    </dxf>
    <dxf>
      <fill>
        <patternFill>
          <bgColor theme="7" tint="0.39994506668294322"/>
        </patternFill>
      </fill>
    </dxf>
    <dxf>
      <fill>
        <patternFill>
          <bgColor theme="5" tint="0.59996337778862885"/>
        </patternFill>
      </fill>
    </dxf>
    <dxf>
      <fill>
        <patternFill>
          <bgColor theme="7" tint="0.79998168889431442"/>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0" tint="-0.34998626667073579"/>
        </patternFill>
      </fill>
    </dxf>
  </dxfs>
  <tableStyles count="0" defaultTableStyle="TableStyleMedium2" defaultPivotStyle="PivotStyleLight16"/>
  <colors>
    <mruColors>
      <color rgb="FFFF8181"/>
      <color rgb="FFF8696B"/>
      <color rgb="FF00C3FF"/>
      <color rgb="FFC9F2FF"/>
      <color rgb="FF00B0F0"/>
      <color rgb="FFFFE699"/>
      <color rgb="FFC6E0B4"/>
      <color rgb="FFFCE4D6"/>
      <color rgb="FFFFF2CC"/>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AU" sz="1800" b="1" i="0" u="none" strike="noStrike" kern="1200" cap="all" spc="150" baseline="0">
                <a:solidFill>
                  <a:sysClr val="windowText" lastClr="000000">
                    <a:lumMod val="50000"/>
                    <a:lumOff val="50000"/>
                  </a:sysClr>
                </a:solidFill>
              </a:rPr>
              <a:t>DAF maturity pyramid LEVEL</a:t>
            </a:r>
            <a:r>
              <a:rPr lang="ru-RU" sz="1800" b="1" i="0" u="none" strike="noStrike" kern="1200" cap="all" spc="150" baseline="0">
                <a:solidFill>
                  <a:sysClr val="windowText" lastClr="000000">
                    <a:lumMod val="50000"/>
                    <a:lumOff val="50000"/>
                  </a:sysClr>
                </a:solidFill>
              </a:rPr>
              <a:t> </a:t>
            </a:r>
            <a:r>
              <a:rPr lang="en-AU" sz="1800" b="1" i="0" u="none" strike="noStrike" kern="1200" cap="all" spc="150" baseline="0">
                <a:solidFill>
                  <a:sysClr val="windowText" lastClr="000000">
                    <a:lumMod val="50000"/>
                    <a:lumOff val="50000"/>
                  </a:sysClr>
                </a:solidFill>
              </a:rPr>
              <a:t>COMPLIANCE</a:t>
            </a:r>
            <a:endParaRPr lang="ru-RU" sz="1800" b="1" i="0" u="none" strike="noStrike" kern="1200" cap="all" spc="150" baseline="0">
              <a:solidFill>
                <a:sysClr val="windowText" lastClr="000000">
                  <a:lumMod val="50000"/>
                  <a:lumOff val="50000"/>
                </a:sysClr>
              </a:solidFill>
            </a:endParaRPr>
          </a:p>
        </c:rich>
      </c:tx>
      <c:layout>
        <c:manualLayout>
          <c:xMode val="edge"/>
          <c:yMode val="edge"/>
          <c:x val="0.24827700023980367"/>
          <c:y val="1.639136913993302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radarChart>
        <c:radarStyle val="filled"/>
        <c:varyColors val="0"/>
        <c:ser>
          <c:idx val="1"/>
          <c:order val="0"/>
          <c:spPr>
            <a:solidFill>
              <a:schemeClr val="accent2">
                <a:alpha val="50196"/>
              </a:schemeClr>
            </a:solidFill>
            <a:ln w="25400">
              <a:noFill/>
              <a:prstDash val="sysDot"/>
            </a:ln>
            <a:effectLst/>
          </c:spPr>
          <c:cat>
            <c:strRef>
              <c:f>('Assesment outcomes'!$R$3,'Assesment outcomes'!$R$4,'Assesment outcomes'!$R$5,'Assesment outcomes'!$R$6,'Assesment outcomes'!$R$7,'Assesment outcomes'!$R$8,'Assesment outcomes'!$R$9,'Assesment outcomes'!$R$10)</c:f>
              <c:strCache>
                <c:ptCount val="8"/>
                <c:pt idx="0">
                  <c:v>Chaos</c:v>
                </c:pt>
                <c:pt idx="1">
                  <c:v>Minimal</c:v>
                </c:pt>
                <c:pt idx="2">
                  <c:v>Basic</c:v>
                </c:pt>
                <c:pt idx="3">
                  <c:v>Enhanced</c:v>
                </c:pt>
                <c:pt idx="4">
                  <c:v>Advanced</c:v>
                </c:pt>
                <c:pt idx="5">
                  <c:v>Developed</c:v>
                </c:pt>
                <c:pt idx="6">
                  <c:v>Expert</c:v>
                </c:pt>
                <c:pt idx="7">
                  <c:v>Ultimate</c:v>
                </c:pt>
              </c:strCache>
            </c:strRef>
          </c:cat>
          <c:val>
            <c:numRef>
              <c:f>('Assesment outcomes'!$S$3,'Assesment outcomes'!$S$4,'Assesment outcomes'!$S$5,'Assesment outcomes'!$S$6,'Assesment outcomes'!$S$7,'Assesment outcomes'!$S$8,'Assesment outcomes'!$S$9,'Assesment outcomes'!$S$10)</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F83-4AB0-8DE2-C0158DF930A4}"/>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1555376"/>
        <c:crosses val="autoZero"/>
        <c:auto val="1"/>
        <c:lblAlgn val="ctr"/>
        <c:lblOffset val="100"/>
        <c:noMultiLvlLbl val="0"/>
      </c:catAx>
      <c:valAx>
        <c:axId val="18515553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155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Segoe UI" panose="020B0502040204020203" pitchFamily="34" charset="0"/>
                <a:ea typeface="+mn-ea"/>
                <a:cs typeface="Segoe UI" panose="020B0502040204020203" pitchFamily="34" charset="0"/>
              </a:defRPr>
            </a:pPr>
            <a:r>
              <a:rPr lang="en-AU" sz="1800" b="1" i="0" u="none" strike="noStrike" kern="1200" cap="all" spc="150" baseline="0">
                <a:solidFill>
                  <a:sysClr val="windowText" lastClr="000000">
                    <a:lumMod val="50000"/>
                    <a:lumOff val="50000"/>
                  </a:sysClr>
                </a:solidFill>
              </a:rPr>
              <a:t>Practices Implementation for DAF </a:t>
            </a:r>
          </a:p>
          <a:p>
            <a:pPr>
              <a:defRPr>
                <a:latin typeface="Segoe UI" panose="020B0502040204020203" pitchFamily="34" charset="0"/>
                <a:cs typeface="Segoe UI" panose="020B0502040204020203" pitchFamily="34" charset="0"/>
              </a:defRPr>
            </a:pPr>
            <a:r>
              <a:rPr lang="en-AU" sz="1800" b="1" i="0" u="none" strike="noStrike" kern="1200" cap="all" spc="150" baseline="0">
                <a:solidFill>
                  <a:sysClr val="windowText" lastClr="000000">
                    <a:lumMod val="50000"/>
                    <a:lumOff val="50000"/>
                  </a:sysClr>
                </a:solidFill>
              </a:rPr>
              <a:t>SubDomains</a:t>
            </a:r>
            <a:endParaRPr lang="ru-RU" sz="1800" b="1" i="0" u="none" strike="noStrike" kern="1200" cap="all" spc="150" baseline="0">
              <a:solidFill>
                <a:sysClr val="windowText" lastClr="000000">
                  <a:lumMod val="50000"/>
                  <a:lumOff val="50000"/>
                </a:sysClr>
              </a:solidFill>
            </a:endParaRPr>
          </a:p>
        </c:rich>
      </c:tx>
      <c:layout>
        <c:manualLayout>
          <c:xMode val="edge"/>
          <c:yMode val="edge"/>
          <c:x val="0.17808369800141483"/>
          <c:y val="2.09158469289388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radarChart>
        <c:radarStyle val="filled"/>
        <c:varyColors val="0"/>
        <c:ser>
          <c:idx val="1"/>
          <c:order val="0"/>
          <c:spPr>
            <a:solidFill>
              <a:schemeClr val="accent2">
                <a:alpha val="50196"/>
              </a:schemeClr>
            </a:solidFill>
            <a:ln w="25400">
              <a:solidFill>
                <a:schemeClr val="accent2"/>
              </a:solidFill>
              <a:prstDash val="sysDot"/>
            </a:ln>
            <a:effectLst/>
          </c:spPr>
          <c:cat>
            <c:strRef>
              <c:f>('Assesment outcomes'!$E$3,'Assesment outcomes'!$E$5,'Assesment outcomes'!$E$11,'Assesment outcomes'!$E$17,'Assesment outcomes'!$E$22,'Assesment outcomes'!$E$30,'Assesment outcomes'!$E$32,'Assesment outcomes'!$E$37,'Assesment outcomes'!$E$41)</c:f>
              <c:strCache>
                <c:ptCount val="9"/>
                <c:pt idx="0">
                  <c:v>Control of artifacts, dependencies, and images</c:v>
                </c:pt>
                <c:pt idx="1">
                  <c:v>Development environment security</c:v>
                </c:pt>
                <c:pt idx="2">
                  <c:v>Tool-Based security defects detection and analysis</c:v>
                </c:pt>
                <c:pt idx="3">
                  <c:v>Runtime application analysis (Pre-Prod environment)</c:v>
                </c:pt>
                <c:pt idx="4">
                  <c:v>Applications &amp; infrastructure security (Runtime in the production environment)</c:v>
                </c:pt>
                <c:pt idx="5">
                  <c:v>Training and knowledge management</c:v>
                </c:pt>
                <c:pt idx="6">
                  <c:v>Software security requirements management</c:v>
                </c:pt>
                <c:pt idx="7">
                  <c:v>Security defects management</c:v>
                </c:pt>
                <c:pt idx="8">
                  <c:v>DSO process roles and responsibilities</c:v>
                </c:pt>
              </c:strCache>
            </c:strRef>
          </c:cat>
          <c:val>
            <c:numRef>
              <c:f>('Assesment outcomes'!$N$3,'Assesment outcomes'!$N$5,'Assesment outcomes'!$N$11,'Assesment outcomes'!$N$17,'Assesment outcomes'!$N$22,'Assesment outcomes'!$N$30,'Assesment outcomes'!$N$32,'Assesment outcomes'!$N$37,'Assesment outcomes'!$N$41)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CD85-4FD5-87AB-5FB94433B8D6}"/>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51555376"/>
        <c:crosses val="autoZero"/>
        <c:auto val="1"/>
        <c:lblAlgn val="ctr"/>
        <c:lblOffset val="100"/>
        <c:noMultiLvlLbl val="0"/>
      </c:catAx>
      <c:valAx>
        <c:axId val="185155537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155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76</xdr:row>
      <xdr:rowOff>16618</xdr:rowOff>
    </xdr:from>
    <xdr:to>
      <xdr:col>19</xdr:col>
      <xdr:colOff>430695</xdr:colOff>
      <xdr:row>116</xdr:row>
      <xdr:rowOff>28575</xdr:rowOff>
    </xdr:to>
    <xdr:sp macro="" textlink="">
      <xdr:nvSpPr>
        <xdr:cNvPr id="2" name="Скругленный прямоугольник 4">
          <a:extLst>
            <a:ext uri="{FF2B5EF4-FFF2-40B4-BE49-F238E27FC236}">
              <a16:creationId xmlns:a16="http://schemas.microsoft.com/office/drawing/2014/main" id="{C9EA963B-FC99-43D2-91FC-5EABED743A6F}"/>
            </a:ext>
          </a:extLst>
        </xdr:cNvPr>
        <xdr:cNvSpPr/>
      </xdr:nvSpPr>
      <xdr:spPr>
        <a:xfrm>
          <a:off x="0" y="14494618"/>
          <a:ext cx="12013095" cy="7631957"/>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0</xdr:col>
      <xdr:colOff>0</xdr:colOff>
      <xdr:row>0</xdr:row>
      <xdr:rowOff>0</xdr:rowOff>
    </xdr:from>
    <xdr:to>
      <xdr:col>19</xdr:col>
      <xdr:colOff>268940</xdr:colOff>
      <xdr:row>27</xdr:row>
      <xdr:rowOff>22412</xdr:rowOff>
    </xdr:to>
    <xdr:sp macro="" textlink="">
      <xdr:nvSpPr>
        <xdr:cNvPr id="3" name="Скругленный прямоугольник 4">
          <a:extLst>
            <a:ext uri="{FF2B5EF4-FFF2-40B4-BE49-F238E27FC236}">
              <a16:creationId xmlns:a16="http://schemas.microsoft.com/office/drawing/2014/main" id="{A688322C-BB4B-4145-8CE3-27F92C682A69}"/>
            </a:ext>
          </a:extLst>
        </xdr:cNvPr>
        <xdr:cNvSpPr/>
      </xdr:nvSpPr>
      <xdr:spPr>
        <a:xfrm>
          <a:off x="0" y="0"/>
          <a:ext cx="11851340" cy="5165912"/>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0</xdr:col>
      <xdr:colOff>0</xdr:colOff>
      <xdr:row>33</xdr:row>
      <xdr:rowOff>16283</xdr:rowOff>
    </xdr:from>
    <xdr:to>
      <xdr:col>19</xdr:col>
      <xdr:colOff>291353</xdr:colOff>
      <xdr:row>69</xdr:row>
      <xdr:rowOff>114300</xdr:rowOff>
    </xdr:to>
    <xdr:sp macro="" textlink="">
      <xdr:nvSpPr>
        <xdr:cNvPr id="4" name="Скругленный прямоугольник 4">
          <a:extLst>
            <a:ext uri="{FF2B5EF4-FFF2-40B4-BE49-F238E27FC236}">
              <a16:creationId xmlns:a16="http://schemas.microsoft.com/office/drawing/2014/main" id="{D375D966-E0E0-4ED6-BE01-599786266FD4}"/>
            </a:ext>
          </a:extLst>
        </xdr:cNvPr>
        <xdr:cNvSpPr/>
      </xdr:nvSpPr>
      <xdr:spPr>
        <a:xfrm>
          <a:off x="0" y="6302783"/>
          <a:ext cx="11873753" cy="6956017"/>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0</xdr:col>
      <xdr:colOff>110729</xdr:colOff>
      <xdr:row>0</xdr:row>
      <xdr:rowOff>42075</xdr:rowOff>
    </xdr:from>
    <xdr:to>
      <xdr:col>17</xdr:col>
      <xdr:colOff>397566</xdr:colOff>
      <xdr:row>5</xdr:row>
      <xdr:rowOff>118578</xdr:rowOff>
    </xdr:to>
    <xdr:sp macro="" textlink="">
      <xdr:nvSpPr>
        <xdr:cNvPr id="5" name="Заголовок 1">
          <a:extLst>
            <a:ext uri="{FF2B5EF4-FFF2-40B4-BE49-F238E27FC236}">
              <a16:creationId xmlns:a16="http://schemas.microsoft.com/office/drawing/2014/main" id="{F6BD7B55-FE57-4D12-ADCA-779A92DFBAB4}"/>
            </a:ext>
          </a:extLst>
        </xdr:cNvPr>
        <xdr:cNvSpPr>
          <a:spLocks noGrp="1"/>
        </xdr:cNvSpPr>
      </xdr:nvSpPr>
      <xdr:spPr>
        <a:xfrm>
          <a:off x="110729" y="42075"/>
          <a:ext cx="10650037" cy="1029003"/>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en-AU"/>
            <a:t>What Needs to be Analyzed and Protected?</a:t>
          </a:r>
          <a:endParaRPr lang="ru-RU"/>
        </a:p>
      </xdr:txBody>
    </xdr:sp>
    <xdr:clientData/>
  </xdr:twoCellAnchor>
  <xdr:twoCellAnchor>
    <xdr:from>
      <xdr:col>6</xdr:col>
      <xdr:colOff>58242</xdr:colOff>
      <xdr:row>3</xdr:row>
      <xdr:rowOff>120512</xdr:rowOff>
    </xdr:from>
    <xdr:to>
      <xdr:col>10</xdr:col>
      <xdr:colOff>586279</xdr:colOff>
      <xdr:row>11</xdr:row>
      <xdr:rowOff>152318</xdr:rowOff>
    </xdr:to>
    <xdr:sp macro="" textlink="">
      <xdr:nvSpPr>
        <xdr:cNvPr id="6" name="Полилиния: фигура 377">
          <a:extLst>
            <a:ext uri="{FF2B5EF4-FFF2-40B4-BE49-F238E27FC236}">
              <a16:creationId xmlns:a16="http://schemas.microsoft.com/office/drawing/2014/main" id="{061AEDE0-3FF3-40E9-9953-859FF9906376}"/>
            </a:ext>
          </a:extLst>
        </xdr:cNvPr>
        <xdr:cNvSpPr/>
      </xdr:nvSpPr>
      <xdr:spPr bwMode="auto">
        <a:xfrm>
          <a:off x="3715842" y="692012"/>
          <a:ext cx="2966437" cy="1555806"/>
        </a:xfrm>
        <a:custGeom>
          <a:avLst/>
          <a:gdLst>
            <a:gd name="connsiteX0" fmla="*/ 1482514 w 2965028"/>
            <a:gd name="connsiteY0" fmla="*/ 0 h 1487226"/>
            <a:gd name="connsiteX1" fmla="*/ 2965028 w 2965028"/>
            <a:gd name="connsiteY1" fmla="*/ 1482514 h 1487226"/>
            <a:gd name="connsiteX2" fmla="*/ 2964790 w 2965028"/>
            <a:gd name="connsiteY2" fmla="*/ 1487226 h 1487226"/>
            <a:gd name="connsiteX3" fmla="*/ 2886085 w 2965028"/>
            <a:gd name="connsiteY3" fmla="*/ 1487226 h 1487226"/>
            <a:gd name="connsiteX4" fmla="*/ 2886323 w 2965028"/>
            <a:gd name="connsiteY4" fmla="*/ 1482514 h 1487226"/>
            <a:gd name="connsiteX5" fmla="*/ 1482514 w 2965028"/>
            <a:gd name="connsiteY5" fmla="*/ 78705 h 1487226"/>
            <a:gd name="connsiteX6" fmla="*/ 78705 w 2965028"/>
            <a:gd name="connsiteY6" fmla="*/ 1482514 h 1487226"/>
            <a:gd name="connsiteX7" fmla="*/ 78943 w 2965028"/>
            <a:gd name="connsiteY7" fmla="*/ 1487226 h 1487226"/>
            <a:gd name="connsiteX8" fmla="*/ 238 w 2965028"/>
            <a:gd name="connsiteY8" fmla="*/ 1487226 h 1487226"/>
            <a:gd name="connsiteX9" fmla="*/ 0 w 2965028"/>
            <a:gd name="connsiteY9" fmla="*/ 1482514 h 1487226"/>
            <a:gd name="connsiteX10" fmla="*/ 1482514 w 2965028"/>
            <a:gd name="connsiteY10" fmla="*/ 0 h 14872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965028" h="1487226">
              <a:moveTo>
                <a:pt x="1482514" y="0"/>
              </a:moveTo>
              <a:cubicBezTo>
                <a:pt x="2301284" y="0"/>
                <a:pt x="2965028" y="663744"/>
                <a:pt x="2965028" y="1482514"/>
              </a:cubicBezTo>
              <a:lnTo>
                <a:pt x="2964790" y="1487226"/>
              </a:lnTo>
              <a:lnTo>
                <a:pt x="2886085" y="1487226"/>
              </a:lnTo>
              <a:lnTo>
                <a:pt x="2886323" y="1482514"/>
              </a:lnTo>
              <a:cubicBezTo>
                <a:pt x="2886323" y="707212"/>
                <a:pt x="2257816" y="78705"/>
                <a:pt x="1482514" y="78705"/>
              </a:cubicBezTo>
              <a:cubicBezTo>
                <a:pt x="707212" y="78705"/>
                <a:pt x="78705" y="707212"/>
                <a:pt x="78705" y="1482514"/>
              </a:cubicBezTo>
              <a:lnTo>
                <a:pt x="78943" y="1487226"/>
              </a:lnTo>
              <a:lnTo>
                <a:pt x="238" y="1487226"/>
              </a:lnTo>
              <a:lnTo>
                <a:pt x="0" y="1482514"/>
              </a:lnTo>
              <a:cubicBezTo>
                <a:pt x="0" y="663744"/>
                <a:pt x="663744" y="0"/>
                <a:pt x="1482514" y="0"/>
              </a:cubicBezTo>
              <a:close/>
            </a:path>
          </a:pathLst>
        </a:custGeom>
        <a:solidFill>
          <a:srgbClr val="FFFFFF">
            <a:lumMod val="95000"/>
          </a:srgbClr>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240488</xdr:colOff>
      <xdr:row>8</xdr:row>
      <xdr:rowOff>153320</xdr:rowOff>
    </xdr:from>
    <xdr:to>
      <xdr:col>13</xdr:col>
      <xdr:colOff>99730</xdr:colOff>
      <xdr:row>14</xdr:row>
      <xdr:rowOff>155438</xdr:rowOff>
    </xdr:to>
    <xdr:sp macro="" textlink="">
      <xdr:nvSpPr>
        <xdr:cNvPr id="7" name="Полилиния: фигура 378">
          <a:extLst>
            <a:ext uri="{FF2B5EF4-FFF2-40B4-BE49-F238E27FC236}">
              <a16:creationId xmlns:a16="http://schemas.microsoft.com/office/drawing/2014/main" id="{140B095F-023D-4CF9-A12D-F7D9F7D06191}"/>
            </a:ext>
          </a:extLst>
        </xdr:cNvPr>
        <xdr:cNvSpPr/>
      </xdr:nvSpPr>
      <xdr:spPr bwMode="auto">
        <a:xfrm>
          <a:off x="6946088" y="1677320"/>
          <a:ext cx="1078442" cy="114511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3</xdr:col>
      <xdr:colOff>548600</xdr:colOff>
      <xdr:row>8</xdr:row>
      <xdr:rowOff>153320</xdr:rowOff>
    </xdr:from>
    <xdr:to>
      <xdr:col>5</xdr:col>
      <xdr:colOff>402625</xdr:colOff>
      <xdr:row>14</xdr:row>
      <xdr:rowOff>155438</xdr:rowOff>
    </xdr:to>
    <xdr:sp macro="" textlink="">
      <xdr:nvSpPr>
        <xdr:cNvPr id="8" name="Полилиния: фигура 379">
          <a:extLst>
            <a:ext uri="{FF2B5EF4-FFF2-40B4-BE49-F238E27FC236}">
              <a16:creationId xmlns:a16="http://schemas.microsoft.com/office/drawing/2014/main" id="{A8D590FC-4C77-45A7-B55B-21229BBB6B77}"/>
            </a:ext>
          </a:extLst>
        </xdr:cNvPr>
        <xdr:cNvSpPr/>
      </xdr:nvSpPr>
      <xdr:spPr bwMode="auto">
        <a:xfrm>
          <a:off x="2377400" y="1677320"/>
          <a:ext cx="1073225" cy="114511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53768</xdr:colOff>
      <xdr:row>12</xdr:row>
      <xdr:rowOff>1364</xdr:rowOff>
    </xdr:from>
    <xdr:to>
      <xdr:col>10</xdr:col>
      <xdr:colOff>594566</xdr:colOff>
      <xdr:row>20</xdr:row>
      <xdr:rowOff>9628</xdr:rowOff>
    </xdr:to>
    <xdr:sp macro="" textlink="">
      <xdr:nvSpPr>
        <xdr:cNvPr id="9" name="Полилиния: фигура 380">
          <a:extLst>
            <a:ext uri="{FF2B5EF4-FFF2-40B4-BE49-F238E27FC236}">
              <a16:creationId xmlns:a16="http://schemas.microsoft.com/office/drawing/2014/main" id="{019608F1-97A9-43A8-BA1C-EE8105E5FBB9}"/>
            </a:ext>
          </a:extLst>
        </xdr:cNvPr>
        <xdr:cNvSpPr/>
      </xdr:nvSpPr>
      <xdr:spPr bwMode="auto">
        <a:xfrm>
          <a:off x="3711368" y="2287364"/>
          <a:ext cx="2979198" cy="1532264"/>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395003</xdr:colOff>
      <xdr:row>5</xdr:row>
      <xdr:rowOff>95323</xdr:rowOff>
    </xdr:from>
    <xdr:to>
      <xdr:col>10</xdr:col>
      <xdr:colOff>246204</xdr:colOff>
      <xdr:row>18</xdr:row>
      <xdr:rowOff>37964</xdr:rowOff>
    </xdr:to>
    <xdr:sp macro="" textlink="">
      <xdr:nvSpPr>
        <xdr:cNvPr id="10" name="Овал 381">
          <a:extLst>
            <a:ext uri="{FF2B5EF4-FFF2-40B4-BE49-F238E27FC236}">
              <a16:creationId xmlns:a16="http://schemas.microsoft.com/office/drawing/2014/main" id="{B91C46B0-C91D-4D80-9547-8EB164CE4049}"/>
            </a:ext>
          </a:extLst>
        </xdr:cNvPr>
        <xdr:cNvSpPr/>
      </xdr:nvSpPr>
      <xdr:spPr bwMode="auto">
        <a:xfrm>
          <a:off x="4052603" y="1047823"/>
          <a:ext cx="2289601" cy="2419141"/>
        </a:xfrm>
        <a:prstGeom prst="ellipse">
          <a:avLst/>
        </a:prstGeom>
        <a:solidFill>
          <a:srgbClr val="FFFFFF">
            <a:lumMod val="95000"/>
          </a:srgbClr>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556855</xdr:colOff>
      <xdr:row>6</xdr:row>
      <xdr:rowOff>67172</xdr:rowOff>
    </xdr:from>
    <xdr:to>
      <xdr:col>10</xdr:col>
      <xdr:colOff>91475</xdr:colOff>
      <xdr:row>17</xdr:row>
      <xdr:rowOff>66114</xdr:rowOff>
    </xdr:to>
    <xdr:sp macro="" textlink="">
      <xdr:nvSpPr>
        <xdr:cNvPr id="11" name="Овал 382">
          <a:extLst>
            <a:ext uri="{FF2B5EF4-FFF2-40B4-BE49-F238E27FC236}">
              <a16:creationId xmlns:a16="http://schemas.microsoft.com/office/drawing/2014/main" id="{DE6FF218-ED5A-49B1-92B6-5352E04D420C}"/>
            </a:ext>
          </a:extLst>
        </xdr:cNvPr>
        <xdr:cNvSpPr/>
      </xdr:nvSpPr>
      <xdr:spPr bwMode="auto">
        <a:xfrm>
          <a:off x="4214455" y="1210172"/>
          <a:ext cx="1973020" cy="2094442"/>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603226</xdr:colOff>
      <xdr:row>11</xdr:row>
      <xdr:rowOff>40714</xdr:rowOff>
    </xdr:from>
    <xdr:to>
      <xdr:col>6</xdr:col>
      <xdr:colOff>246218</xdr:colOff>
      <xdr:row>12</xdr:row>
      <xdr:rowOff>113738</xdr:rowOff>
    </xdr:to>
    <xdr:sp macro="" textlink="">
      <xdr:nvSpPr>
        <xdr:cNvPr id="12" name="Овал 383">
          <a:extLst>
            <a:ext uri="{FF2B5EF4-FFF2-40B4-BE49-F238E27FC236}">
              <a16:creationId xmlns:a16="http://schemas.microsoft.com/office/drawing/2014/main" id="{BEEC1A0D-0783-4058-9A0A-78F8F69ECE67}"/>
            </a:ext>
          </a:extLst>
        </xdr:cNvPr>
        <xdr:cNvSpPr/>
      </xdr:nvSpPr>
      <xdr:spPr bwMode="auto">
        <a:xfrm>
          <a:off x="3651226" y="2136214"/>
          <a:ext cx="252592" cy="263524"/>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21428</xdr:colOff>
      <xdr:row>11</xdr:row>
      <xdr:rowOff>75639</xdr:rowOff>
    </xdr:from>
    <xdr:to>
      <xdr:col>6</xdr:col>
      <xdr:colOff>205578</xdr:colOff>
      <xdr:row>12</xdr:row>
      <xdr:rowOff>78813</xdr:rowOff>
    </xdr:to>
    <xdr:sp macro="" textlink="">
      <xdr:nvSpPr>
        <xdr:cNvPr id="13" name="Овал 384">
          <a:extLst>
            <a:ext uri="{FF2B5EF4-FFF2-40B4-BE49-F238E27FC236}">
              <a16:creationId xmlns:a16="http://schemas.microsoft.com/office/drawing/2014/main" id="{4F005B3E-664C-4922-8221-FEB531913755}"/>
            </a:ext>
          </a:extLst>
        </xdr:cNvPr>
        <xdr:cNvSpPr/>
      </xdr:nvSpPr>
      <xdr:spPr bwMode="auto">
        <a:xfrm>
          <a:off x="3679028" y="2171139"/>
          <a:ext cx="184150" cy="193674"/>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10</xdr:col>
      <xdr:colOff>398424</xdr:colOff>
      <xdr:row>11</xdr:row>
      <xdr:rowOff>40714</xdr:rowOff>
    </xdr:from>
    <xdr:to>
      <xdr:col>11</xdr:col>
      <xdr:colOff>56160</xdr:colOff>
      <xdr:row>12</xdr:row>
      <xdr:rowOff>113738</xdr:rowOff>
    </xdr:to>
    <xdr:sp macro="" textlink="">
      <xdr:nvSpPr>
        <xdr:cNvPr id="14" name="Овал 385">
          <a:extLst>
            <a:ext uri="{FF2B5EF4-FFF2-40B4-BE49-F238E27FC236}">
              <a16:creationId xmlns:a16="http://schemas.microsoft.com/office/drawing/2014/main" id="{78204E42-FE9F-4D9F-9B68-0E41F02AF205}"/>
            </a:ext>
          </a:extLst>
        </xdr:cNvPr>
        <xdr:cNvSpPr/>
      </xdr:nvSpPr>
      <xdr:spPr bwMode="auto">
        <a:xfrm>
          <a:off x="6494424" y="2136214"/>
          <a:ext cx="267336" cy="263524"/>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10</xdr:col>
      <xdr:colOff>439064</xdr:colOff>
      <xdr:row>11</xdr:row>
      <xdr:rowOff>75639</xdr:rowOff>
    </xdr:from>
    <xdr:to>
      <xdr:col>11</xdr:col>
      <xdr:colOff>11710</xdr:colOff>
      <xdr:row>12</xdr:row>
      <xdr:rowOff>78813</xdr:rowOff>
    </xdr:to>
    <xdr:sp macro="" textlink="">
      <xdr:nvSpPr>
        <xdr:cNvPr id="15" name="Овал 386">
          <a:extLst>
            <a:ext uri="{FF2B5EF4-FFF2-40B4-BE49-F238E27FC236}">
              <a16:creationId xmlns:a16="http://schemas.microsoft.com/office/drawing/2014/main" id="{1F4D10F4-245B-46F4-9F40-783E31704580}"/>
            </a:ext>
          </a:extLst>
        </xdr:cNvPr>
        <xdr:cNvSpPr/>
      </xdr:nvSpPr>
      <xdr:spPr bwMode="auto">
        <a:xfrm>
          <a:off x="6535064" y="2171139"/>
          <a:ext cx="182246" cy="193674"/>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23529</xdr:colOff>
      <xdr:row>11</xdr:row>
      <xdr:rowOff>142209</xdr:rowOff>
    </xdr:from>
    <xdr:to>
      <xdr:col>11</xdr:col>
      <xdr:colOff>279434</xdr:colOff>
      <xdr:row>12</xdr:row>
      <xdr:rowOff>1900</xdr:rowOff>
    </xdr:to>
    <xdr:sp macro="" textlink="">
      <xdr:nvSpPr>
        <xdr:cNvPr id="16" name="Прямоугольник 387">
          <a:extLst>
            <a:ext uri="{FF2B5EF4-FFF2-40B4-BE49-F238E27FC236}">
              <a16:creationId xmlns:a16="http://schemas.microsoft.com/office/drawing/2014/main" id="{2A5048E8-8A17-429A-95DF-32647DEBFA00}"/>
            </a:ext>
          </a:extLst>
        </xdr:cNvPr>
        <xdr:cNvSpPr/>
      </xdr:nvSpPr>
      <xdr:spPr bwMode="auto">
        <a:xfrm>
          <a:off x="6729129" y="2237709"/>
          <a:ext cx="255905" cy="50191"/>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384648</xdr:colOff>
      <xdr:row>11</xdr:row>
      <xdr:rowOff>142209</xdr:rowOff>
    </xdr:from>
    <xdr:to>
      <xdr:col>6</xdr:col>
      <xdr:colOff>21428</xdr:colOff>
      <xdr:row>12</xdr:row>
      <xdr:rowOff>1900</xdr:rowOff>
    </xdr:to>
    <xdr:sp macro="" textlink="">
      <xdr:nvSpPr>
        <xdr:cNvPr id="17" name="Прямоугольник 388">
          <a:extLst>
            <a:ext uri="{FF2B5EF4-FFF2-40B4-BE49-F238E27FC236}">
              <a16:creationId xmlns:a16="http://schemas.microsoft.com/office/drawing/2014/main" id="{D76333DD-C772-41E0-8672-5C7039C410E0}"/>
            </a:ext>
          </a:extLst>
        </xdr:cNvPr>
        <xdr:cNvSpPr/>
      </xdr:nvSpPr>
      <xdr:spPr bwMode="auto">
        <a:xfrm>
          <a:off x="3432648" y="2237709"/>
          <a:ext cx="246380" cy="50191"/>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66261</xdr:colOff>
      <xdr:row>7</xdr:row>
      <xdr:rowOff>36174</xdr:rowOff>
    </xdr:from>
    <xdr:to>
      <xdr:col>3</xdr:col>
      <xdr:colOff>455385</xdr:colOff>
      <xdr:row>10</xdr:row>
      <xdr:rowOff>83466</xdr:rowOff>
    </xdr:to>
    <xdr:sp macro="" textlink="">
      <xdr:nvSpPr>
        <xdr:cNvPr id="18" name="TextBox 16">
          <a:extLst>
            <a:ext uri="{FF2B5EF4-FFF2-40B4-BE49-F238E27FC236}">
              <a16:creationId xmlns:a16="http://schemas.microsoft.com/office/drawing/2014/main" id="{2FD935C6-1522-46A6-8567-556758A7AC3F}"/>
            </a:ext>
          </a:extLst>
        </xdr:cNvPr>
        <xdr:cNvSpPr txBox="1"/>
      </xdr:nvSpPr>
      <xdr:spPr>
        <a:xfrm>
          <a:off x="66261" y="1369674"/>
          <a:ext cx="2217924" cy="618792"/>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r"/>
          <a:r>
            <a:rPr lang="en-AU" sz="1400" b="1">
              <a:solidFill>
                <a:srgbClr val="00C3FF"/>
              </a:solidFill>
              <a:latin typeface="Segoe UI" panose="020B0502040204020203" pitchFamily="34" charset="0"/>
              <a:ea typeface="Segoe UI" panose="020B0502040204020203" pitchFamily="34" charset="0"/>
              <a:cs typeface="Segoe UI" panose="020B0502040204020203" pitchFamily="34" charset="0"/>
            </a:rPr>
            <a:t>COMPONENTS AND</a:t>
          </a:r>
          <a:r>
            <a:rPr lang="en-AU" sz="1400" b="1" baseline="0">
              <a:solidFill>
                <a:srgbClr val="00C3FF"/>
              </a:solidFill>
              <a:latin typeface="Segoe UI" panose="020B0502040204020203" pitchFamily="34" charset="0"/>
              <a:ea typeface="Segoe UI" panose="020B0502040204020203" pitchFamily="34" charset="0"/>
              <a:cs typeface="Segoe UI" panose="020B0502040204020203" pitchFamily="34" charset="0"/>
            </a:rPr>
            <a:t> SOURCE CODE</a:t>
          </a:r>
          <a:r>
            <a:rPr lang="ru-RU" sz="1400" b="1">
              <a:solidFill>
                <a:srgbClr val="00C3FF"/>
              </a:solidFill>
              <a:latin typeface="Segoe UI" panose="020B0502040204020203" pitchFamily="34" charset="0"/>
              <a:ea typeface="Segoe UI" panose="020B0502040204020203" pitchFamily="34" charset="0"/>
              <a:cs typeface="Segoe UI" panose="020B0502040204020203" pitchFamily="34" charset="0"/>
            </a:rPr>
            <a:t>  </a:t>
          </a:r>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01</a:t>
          </a:r>
        </a:p>
      </xdr:txBody>
    </xdr:sp>
    <xdr:clientData/>
  </xdr:twoCellAnchor>
  <xdr:twoCellAnchor>
    <xdr:from>
      <xdr:col>13</xdr:col>
      <xdr:colOff>189890</xdr:colOff>
      <xdr:row>7</xdr:row>
      <xdr:rowOff>76267</xdr:rowOff>
    </xdr:from>
    <xdr:to>
      <xdr:col>17</xdr:col>
      <xdr:colOff>498896</xdr:colOff>
      <xdr:row>10</xdr:row>
      <xdr:rowOff>125464</xdr:rowOff>
    </xdr:to>
    <xdr:sp macro="" textlink="">
      <xdr:nvSpPr>
        <xdr:cNvPr id="19" name="TextBox 17">
          <a:extLst>
            <a:ext uri="{FF2B5EF4-FFF2-40B4-BE49-F238E27FC236}">
              <a16:creationId xmlns:a16="http://schemas.microsoft.com/office/drawing/2014/main" id="{1B790312-B5D7-4035-AD71-B075D70F268F}"/>
            </a:ext>
          </a:extLst>
        </xdr:cNvPr>
        <xdr:cNvSpPr txBox="1"/>
      </xdr:nvSpPr>
      <xdr:spPr>
        <a:xfrm>
          <a:off x="8114690" y="1409767"/>
          <a:ext cx="2747406" cy="620697"/>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0</a:t>
          </a:r>
          <a:r>
            <a:rPr lang="ru-RU" sz="1400" b="1">
              <a:solidFill>
                <a:srgbClr val="00C3FF"/>
              </a:solidFill>
              <a:ea typeface="Segoe UI" panose="020B0502040204020203" pitchFamily="34" charset="0"/>
              <a:cs typeface="Segoe UI" panose="020B0502040204020203" pitchFamily="34" charset="0"/>
            </a:rPr>
            <a:t>4  </a:t>
          </a:r>
          <a:r>
            <a:rPr lang="en-AU" sz="1400" b="1">
              <a:solidFill>
                <a:srgbClr val="00C3FF"/>
              </a:solidFill>
              <a:ea typeface="Segoe UI" panose="020B0502040204020203" pitchFamily="34" charset="0"/>
              <a:cs typeface="Segoe UI" panose="020B0502040204020203" pitchFamily="34" charset="0"/>
            </a:rPr>
            <a:t>APPLICATION</a:t>
          </a:r>
          <a:endParaRPr lang="en-US" sz="1400" b="1">
            <a:solidFill>
              <a:srgbClr val="00C3FF"/>
            </a:solidFill>
            <a:ea typeface="Segoe UI" panose="020B0502040204020203" pitchFamily="34" charset="0"/>
            <a:cs typeface="Segoe UI" panose="020B0502040204020203" pitchFamily="34" charset="0"/>
          </a:endParaRPr>
        </a:p>
      </xdr:txBody>
    </xdr:sp>
    <xdr:clientData/>
  </xdr:twoCellAnchor>
  <xdr:twoCellAnchor>
    <xdr:from>
      <xdr:col>3</xdr:col>
      <xdr:colOff>490421</xdr:colOff>
      <xdr:row>7</xdr:row>
      <xdr:rowOff>163043</xdr:rowOff>
    </xdr:from>
    <xdr:to>
      <xdr:col>3</xdr:col>
      <xdr:colOff>539950</xdr:colOff>
      <xdr:row>11</xdr:row>
      <xdr:rowOff>26212</xdr:rowOff>
    </xdr:to>
    <xdr:sp macro="" textlink="">
      <xdr:nvSpPr>
        <xdr:cNvPr id="20" name="Прямоугольник 391">
          <a:extLst>
            <a:ext uri="{FF2B5EF4-FFF2-40B4-BE49-F238E27FC236}">
              <a16:creationId xmlns:a16="http://schemas.microsoft.com/office/drawing/2014/main" id="{B79B724C-7582-4C2B-823E-9CD24D9A8828}"/>
            </a:ext>
          </a:extLst>
        </xdr:cNvPr>
        <xdr:cNvSpPr/>
      </xdr:nvSpPr>
      <xdr:spPr bwMode="auto">
        <a:xfrm>
          <a:off x="2319221" y="1496543"/>
          <a:ext cx="49529" cy="62516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13</xdr:col>
      <xdr:colOff>156949</xdr:colOff>
      <xdr:row>8</xdr:row>
      <xdr:rowOff>138195</xdr:rowOff>
    </xdr:from>
    <xdr:to>
      <xdr:col>13</xdr:col>
      <xdr:colOff>208383</xdr:colOff>
      <xdr:row>12</xdr:row>
      <xdr:rowOff>1364</xdr:rowOff>
    </xdr:to>
    <xdr:sp macro="" textlink="">
      <xdr:nvSpPr>
        <xdr:cNvPr id="21" name="Прямоугольник 392">
          <a:extLst>
            <a:ext uri="{FF2B5EF4-FFF2-40B4-BE49-F238E27FC236}">
              <a16:creationId xmlns:a16="http://schemas.microsoft.com/office/drawing/2014/main" id="{338B92C9-601A-4CC8-9158-2F97755C944F}"/>
            </a:ext>
          </a:extLst>
        </xdr:cNvPr>
        <xdr:cNvSpPr/>
      </xdr:nvSpPr>
      <xdr:spPr bwMode="auto">
        <a:xfrm>
          <a:off x="8081749" y="1662195"/>
          <a:ext cx="51434" cy="62516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0</xdr:colOff>
      <xdr:row>9</xdr:row>
      <xdr:rowOff>112143</xdr:rowOff>
    </xdr:from>
    <xdr:to>
      <xdr:col>3</xdr:col>
      <xdr:colOff>356152</xdr:colOff>
      <xdr:row>13</xdr:row>
      <xdr:rowOff>91108</xdr:rowOff>
    </xdr:to>
    <xdr:sp macro="" textlink="">
      <xdr:nvSpPr>
        <xdr:cNvPr id="22" name="Прямоугольник 393">
          <a:extLst>
            <a:ext uri="{FF2B5EF4-FFF2-40B4-BE49-F238E27FC236}">
              <a16:creationId xmlns:a16="http://schemas.microsoft.com/office/drawing/2014/main" id="{67BACFED-E89F-4462-9202-46D7CE6D2538}"/>
            </a:ext>
          </a:extLst>
        </xdr:cNvPr>
        <xdr:cNvSpPr/>
      </xdr:nvSpPr>
      <xdr:spPr bwMode="auto">
        <a:xfrm>
          <a:off x="0" y="1826643"/>
          <a:ext cx="2184952" cy="740965"/>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r" defTabSz="914400" eaLnBrk="1" fontAlgn="auto" latinLnBrk="0" hangingPunct="1">
            <a:lnSpc>
              <a:spcPct val="100000"/>
            </a:lnSpc>
            <a:spcBef>
              <a:spcPts val="0"/>
            </a:spcBef>
            <a:spcAft>
              <a:spcPts val="0"/>
            </a:spcAft>
            <a:buClrTx/>
            <a:buSzTx/>
            <a:buFontTx/>
            <a:buNone/>
            <a:tabLst/>
          </a:pPr>
          <a:r>
            <a:rPr lang="en-AU" sz="1200" kern="0">
              <a:solidFill>
                <a:srgbClr val="001031"/>
              </a:solidFill>
              <a:latin typeface="Segoe UI"/>
            </a:rPr>
            <a:t>Analysis of software during development and remediation of security defects</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371368</xdr:colOff>
      <xdr:row>17</xdr:row>
      <xdr:rowOff>135180</xdr:rowOff>
    </xdr:from>
    <xdr:to>
      <xdr:col>17</xdr:col>
      <xdr:colOff>410791</xdr:colOff>
      <xdr:row>20</xdr:row>
      <xdr:rowOff>169137</xdr:rowOff>
    </xdr:to>
    <xdr:sp macro="" textlink="">
      <xdr:nvSpPr>
        <xdr:cNvPr id="23" name="TextBox 21">
          <a:extLst>
            <a:ext uri="{FF2B5EF4-FFF2-40B4-BE49-F238E27FC236}">
              <a16:creationId xmlns:a16="http://schemas.microsoft.com/office/drawing/2014/main" id="{9980EBE4-6464-49F3-AB09-9868431D1D95}"/>
            </a:ext>
          </a:extLst>
        </xdr:cNvPr>
        <xdr:cNvSpPr txBox="1"/>
      </xdr:nvSpPr>
      <xdr:spPr>
        <a:xfrm>
          <a:off x="7076968" y="3373680"/>
          <a:ext cx="3697023" cy="605457"/>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0</a:t>
          </a:r>
          <a:r>
            <a:rPr lang="ru-RU" sz="1400" b="1">
              <a:solidFill>
                <a:srgbClr val="00C3FF"/>
              </a:solidFill>
              <a:latin typeface="Segoe UI" panose="020B0502040204020203" pitchFamily="34" charset="0"/>
              <a:ea typeface="Segoe UI" panose="020B0502040204020203" pitchFamily="34" charset="0"/>
              <a:cs typeface="Segoe UI" panose="020B0502040204020203" pitchFamily="34" charset="0"/>
            </a:rPr>
            <a:t>3</a:t>
          </a:r>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  </a:t>
          </a:r>
          <a:r>
            <a:rPr lang="en-AU" sz="1400" b="1" cap="all" baseline="0">
              <a:solidFill>
                <a:srgbClr val="00C3FF"/>
              </a:solidFill>
              <a:latin typeface="Segoe UI" panose="020B0502040204020203" pitchFamily="34" charset="0"/>
              <a:ea typeface="Segoe UI" panose="020B0502040204020203" pitchFamily="34" charset="0"/>
              <a:cs typeface="Segoe UI" panose="020B0502040204020203" pitchFamily="34" charset="0"/>
            </a:rPr>
            <a:t>Production Environment</a:t>
          </a:r>
          <a:endParaRPr lang="en-US" sz="1400" b="1" cap="all" baseline="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11</xdr:col>
      <xdr:colOff>351495</xdr:colOff>
      <xdr:row>18</xdr:row>
      <xdr:rowOff>166213</xdr:rowOff>
    </xdr:from>
    <xdr:to>
      <xdr:col>11</xdr:col>
      <xdr:colOff>401024</xdr:colOff>
      <xdr:row>22</xdr:row>
      <xdr:rowOff>17289</xdr:rowOff>
    </xdr:to>
    <xdr:sp macro="" textlink="">
      <xdr:nvSpPr>
        <xdr:cNvPr id="24" name="Прямоугольник 395">
          <a:extLst>
            <a:ext uri="{FF2B5EF4-FFF2-40B4-BE49-F238E27FC236}">
              <a16:creationId xmlns:a16="http://schemas.microsoft.com/office/drawing/2014/main" id="{9199F3BF-26B1-4E0A-87A6-2D92A83FFC78}"/>
            </a:ext>
          </a:extLst>
        </xdr:cNvPr>
        <xdr:cNvSpPr/>
      </xdr:nvSpPr>
      <xdr:spPr bwMode="auto">
        <a:xfrm>
          <a:off x="7057095" y="3595213"/>
          <a:ext cx="49529" cy="613076"/>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478502</xdr:colOff>
      <xdr:row>19</xdr:row>
      <xdr:rowOff>154262</xdr:rowOff>
    </xdr:from>
    <xdr:to>
      <xdr:col>17</xdr:col>
      <xdr:colOff>517925</xdr:colOff>
      <xdr:row>22</xdr:row>
      <xdr:rowOff>114432</xdr:rowOff>
    </xdr:to>
    <xdr:sp macro="" textlink="">
      <xdr:nvSpPr>
        <xdr:cNvPr id="25" name="Прямоугольник 396">
          <a:extLst>
            <a:ext uri="{FF2B5EF4-FFF2-40B4-BE49-F238E27FC236}">
              <a16:creationId xmlns:a16="http://schemas.microsoft.com/office/drawing/2014/main" id="{5B26D270-CF78-479F-B3E2-8C12322F3A0D}"/>
            </a:ext>
          </a:extLst>
        </xdr:cNvPr>
        <xdr:cNvSpPr/>
      </xdr:nvSpPr>
      <xdr:spPr bwMode="auto">
        <a:xfrm>
          <a:off x="7184102" y="3773762"/>
          <a:ext cx="3697023" cy="531670"/>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eaLnBrk="1" fontAlgn="auto" hangingPunct="1">
            <a:spcBef>
              <a:spcPts val="0"/>
            </a:spcBef>
            <a:spcAft>
              <a:spcPts val="0"/>
            </a:spcAft>
          </a:pPr>
          <a:r>
            <a:rPr lang="en-AU" sz="1200"/>
            <a:t>Information Security settings and protection measures in production environment</a:t>
          </a:r>
          <a:endParaRPr lang="en-US" sz="1200" kern="0">
            <a:solidFill>
              <a:srgbClr val="001031"/>
            </a:solidFill>
            <a:latin typeface="Segoe UI"/>
          </a:endParaRPr>
        </a:p>
      </xdr:txBody>
    </xdr:sp>
    <xdr:clientData/>
  </xdr:twoCellAnchor>
  <xdr:twoCellAnchor>
    <xdr:from>
      <xdr:col>13</xdr:col>
      <xdr:colOff>276155</xdr:colOff>
      <xdr:row>9</xdr:row>
      <xdr:rowOff>8864</xdr:rowOff>
    </xdr:from>
    <xdr:to>
      <xdr:col>17</xdr:col>
      <xdr:colOff>579943</xdr:colOff>
      <xdr:row>11</xdr:row>
      <xdr:rowOff>148103</xdr:rowOff>
    </xdr:to>
    <xdr:sp macro="" textlink="">
      <xdr:nvSpPr>
        <xdr:cNvPr id="26" name="Прямоугольник 397">
          <a:extLst>
            <a:ext uri="{FF2B5EF4-FFF2-40B4-BE49-F238E27FC236}">
              <a16:creationId xmlns:a16="http://schemas.microsoft.com/office/drawing/2014/main" id="{EFAFA8F9-0A60-4F10-9BF5-172F08F501E0}"/>
            </a:ext>
          </a:extLst>
        </xdr:cNvPr>
        <xdr:cNvSpPr/>
      </xdr:nvSpPr>
      <xdr:spPr bwMode="auto">
        <a:xfrm>
          <a:off x="8200955" y="1723364"/>
          <a:ext cx="2742188" cy="520239"/>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defTabSz="914400" eaLnBrk="1" fontAlgn="auto" latinLnBrk="0" hangingPunct="1">
            <a:lnSpc>
              <a:spcPct val="100000"/>
            </a:lnSpc>
            <a:spcBef>
              <a:spcPts val="0"/>
            </a:spcBef>
            <a:spcAft>
              <a:spcPts val="0"/>
            </a:spcAft>
            <a:buClrTx/>
            <a:buSzTx/>
            <a:buFontTx/>
            <a:buNone/>
            <a:tabLst/>
          </a:pPr>
          <a:r>
            <a:rPr lang="en-AU" sz="1200"/>
            <a:t>Running application security</a:t>
          </a:r>
          <a:endParaRPr lang="en-US" sz="1200" kern="0">
            <a:solidFill>
              <a:srgbClr val="001031"/>
            </a:solidFill>
            <a:latin typeface="Segoe UI"/>
          </a:endParaRPr>
        </a:p>
      </xdr:txBody>
    </xdr:sp>
    <xdr:clientData/>
  </xdr:twoCellAnchor>
  <xdr:twoCellAnchor>
    <xdr:from>
      <xdr:col>9</xdr:col>
      <xdr:colOff>457659</xdr:colOff>
      <xdr:row>19</xdr:row>
      <xdr:rowOff>77544</xdr:rowOff>
    </xdr:from>
    <xdr:to>
      <xdr:col>11</xdr:col>
      <xdr:colOff>323115</xdr:colOff>
      <xdr:row>25</xdr:row>
      <xdr:rowOff>79661</xdr:rowOff>
    </xdr:to>
    <xdr:sp macro="" textlink="">
      <xdr:nvSpPr>
        <xdr:cNvPr id="27" name="Полилиния: фигура 398">
          <a:extLst>
            <a:ext uri="{FF2B5EF4-FFF2-40B4-BE49-F238E27FC236}">
              <a16:creationId xmlns:a16="http://schemas.microsoft.com/office/drawing/2014/main" id="{C438CD8B-A782-4B63-B4F9-14EBA2C72C21}"/>
            </a:ext>
          </a:extLst>
        </xdr:cNvPr>
        <xdr:cNvSpPr/>
      </xdr:nvSpPr>
      <xdr:spPr bwMode="auto">
        <a:xfrm>
          <a:off x="5944059" y="3697044"/>
          <a:ext cx="1084656" cy="1145117"/>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259404</xdr:colOff>
      <xdr:row>18</xdr:row>
      <xdr:rowOff>48273</xdr:rowOff>
    </xdr:from>
    <xdr:to>
      <xdr:col>9</xdr:col>
      <xdr:colOff>518622</xdr:colOff>
      <xdr:row>19</xdr:row>
      <xdr:rowOff>117488</xdr:rowOff>
    </xdr:to>
    <xdr:sp macro="" textlink="">
      <xdr:nvSpPr>
        <xdr:cNvPr id="28" name="Овал 399">
          <a:extLst>
            <a:ext uri="{FF2B5EF4-FFF2-40B4-BE49-F238E27FC236}">
              <a16:creationId xmlns:a16="http://schemas.microsoft.com/office/drawing/2014/main" id="{49FA20EC-D9CD-4E28-9473-27595E9836C3}"/>
            </a:ext>
          </a:extLst>
        </xdr:cNvPr>
        <xdr:cNvSpPr/>
      </xdr:nvSpPr>
      <xdr:spPr bwMode="auto">
        <a:xfrm>
          <a:off x="5745804" y="3477273"/>
          <a:ext cx="259218" cy="259715"/>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294329</xdr:colOff>
      <xdr:row>18</xdr:row>
      <xdr:rowOff>79388</xdr:rowOff>
    </xdr:from>
    <xdr:to>
      <xdr:col>9</xdr:col>
      <xdr:colOff>477982</xdr:colOff>
      <xdr:row>19</xdr:row>
      <xdr:rowOff>86373</xdr:rowOff>
    </xdr:to>
    <xdr:sp macro="" textlink="">
      <xdr:nvSpPr>
        <xdr:cNvPr id="29" name="Овал 400">
          <a:extLst>
            <a:ext uri="{FF2B5EF4-FFF2-40B4-BE49-F238E27FC236}">
              <a16:creationId xmlns:a16="http://schemas.microsoft.com/office/drawing/2014/main" id="{3ABCAD20-CBC1-48C9-AFC3-6ED9BA3F1B6C}"/>
            </a:ext>
          </a:extLst>
        </xdr:cNvPr>
        <xdr:cNvSpPr/>
      </xdr:nvSpPr>
      <xdr:spPr bwMode="auto">
        <a:xfrm>
          <a:off x="5780729" y="3508388"/>
          <a:ext cx="183653" cy="197485"/>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431867</xdr:colOff>
      <xdr:row>19</xdr:row>
      <xdr:rowOff>137174</xdr:rowOff>
    </xdr:from>
    <xdr:to>
      <xdr:col>10</xdr:col>
      <xdr:colOff>68647</xdr:colOff>
      <xdr:row>19</xdr:row>
      <xdr:rowOff>180988</xdr:rowOff>
    </xdr:to>
    <xdr:sp macro="" textlink="">
      <xdr:nvSpPr>
        <xdr:cNvPr id="30" name="Прямоугольник 401">
          <a:extLst>
            <a:ext uri="{FF2B5EF4-FFF2-40B4-BE49-F238E27FC236}">
              <a16:creationId xmlns:a16="http://schemas.microsoft.com/office/drawing/2014/main" id="{DA069CE8-3F77-4EFF-836A-7503DF5D46AF}"/>
            </a:ext>
          </a:extLst>
        </xdr:cNvPr>
        <xdr:cNvSpPr/>
      </xdr:nvSpPr>
      <xdr:spPr bwMode="auto">
        <a:xfrm rot="2700000" flipH="1">
          <a:off x="5918267" y="3756674"/>
          <a:ext cx="246380" cy="43814"/>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10</xdr:col>
      <xdr:colOff>152940</xdr:colOff>
      <xdr:row>20</xdr:row>
      <xdr:rowOff>154956</xdr:rowOff>
    </xdr:from>
    <xdr:to>
      <xdr:col>11</xdr:col>
      <xdr:colOff>94932</xdr:colOff>
      <xdr:row>24</xdr:row>
      <xdr:rowOff>1007</xdr:rowOff>
    </xdr:to>
    <xdr:grpSp>
      <xdr:nvGrpSpPr>
        <xdr:cNvPr id="31" name="Группа 402">
          <a:extLst>
            <a:ext uri="{FF2B5EF4-FFF2-40B4-BE49-F238E27FC236}">
              <a16:creationId xmlns:a16="http://schemas.microsoft.com/office/drawing/2014/main" id="{50D9B081-B045-4361-B5FE-5C1DE07E5773}"/>
            </a:ext>
          </a:extLst>
        </xdr:cNvPr>
        <xdr:cNvGrpSpPr>
          <a:grpSpLocks noChangeAspect="1"/>
        </xdr:cNvGrpSpPr>
      </xdr:nvGrpSpPr>
      <xdr:grpSpPr>
        <a:xfrm>
          <a:off x="6204116" y="3964956"/>
          <a:ext cx="547110" cy="608051"/>
          <a:chOff x="6044217" y="3060700"/>
          <a:chExt cx="1585308" cy="1653540"/>
        </a:xfrm>
      </xdr:grpSpPr>
      <xdr:sp macro="" textlink="">
        <xdr:nvSpPr>
          <xdr:cNvPr id="32" name="Скругленный прямоугольник 42">
            <a:extLst>
              <a:ext uri="{FF2B5EF4-FFF2-40B4-BE49-F238E27FC236}">
                <a16:creationId xmlns:a16="http://schemas.microsoft.com/office/drawing/2014/main" id="{7066C4A3-A33B-E3EE-7058-D6A0BBD324A1}"/>
              </a:ext>
            </a:extLst>
          </xdr:cNvPr>
          <xdr:cNvSpPr/>
        </xdr:nvSpPr>
        <xdr:spPr>
          <a:xfrm>
            <a:off x="6044217" y="3060700"/>
            <a:ext cx="1358398" cy="1653540"/>
          </a:xfrm>
          <a:prstGeom prst="roundRect">
            <a:avLst>
              <a:gd name="adj" fmla="val 5485"/>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33" name="Овал 444">
            <a:extLst>
              <a:ext uri="{FF2B5EF4-FFF2-40B4-BE49-F238E27FC236}">
                <a16:creationId xmlns:a16="http://schemas.microsoft.com/office/drawing/2014/main" id="{C88B84BD-8A4B-F896-EBE7-5968783B55B8}"/>
              </a:ext>
            </a:extLst>
          </xdr:cNvPr>
          <xdr:cNvSpPr/>
        </xdr:nvSpPr>
        <xdr:spPr>
          <a:xfrm>
            <a:off x="7057771" y="4043594"/>
            <a:ext cx="571754" cy="571754"/>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34" name="Скругленный прямоугольник 43">
            <a:extLst>
              <a:ext uri="{FF2B5EF4-FFF2-40B4-BE49-F238E27FC236}">
                <a16:creationId xmlns:a16="http://schemas.microsoft.com/office/drawing/2014/main" id="{E47E196F-0107-C869-4576-614B9A8764F6}"/>
              </a:ext>
            </a:extLst>
          </xdr:cNvPr>
          <xdr:cNvSpPr/>
        </xdr:nvSpPr>
        <xdr:spPr>
          <a:xfrm>
            <a:off x="6162151" y="3178016"/>
            <a:ext cx="1122531" cy="1418908"/>
          </a:xfrm>
          <a:prstGeom prst="roundRect">
            <a:avLst>
              <a:gd name="adj" fmla="val 1195"/>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nvGrpSpPr>
          <xdr:cNvPr id="35" name="Группа 446">
            <a:extLst>
              <a:ext uri="{FF2B5EF4-FFF2-40B4-BE49-F238E27FC236}">
                <a16:creationId xmlns:a16="http://schemas.microsoft.com/office/drawing/2014/main" id="{F1C91DBE-E61F-84EF-7895-35EC95914BBE}"/>
              </a:ext>
            </a:extLst>
          </xdr:cNvPr>
          <xdr:cNvGrpSpPr/>
        </xdr:nvGrpSpPr>
        <xdr:grpSpPr>
          <a:xfrm>
            <a:off x="6277113" y="3370508"/>
            <a:ext cx="892606" cy="720105"/>
            <a:chOff x="1802607" y="1871663"/>
            <a:chExt cx="1835944" cy="1481135"/>
          </a:xfrm>
          <a:solidFill>
            <a:srgbClr val="00B0F0"/>
          </a:solidFill>
        </xdr:grpSpPr>
        <xdr:sp macro="" textlink="">
          <xdr:nvSpPr>
            <xdr:cNvPr id="37" name="Скругленный прямоугольник 49">
              <a:extLst>
                <a:ext uri="{FF2B5EF4-FFF2-40B4-BE49-F238E27FC236}">
                  <a16:creationId xmlns:a16="http://schemas.microsoft.com/office/drawing/2014/main" id="{BC5D4F6B-2F9B-718C-FC4E-5D10BB37FE1A}"/>
                </a:ext>
              </a:extLst>
            </xdr:cNvPr>
            <xdr:cNvSpPr/>
          </xdr:nvSpPr>
          <xdr:spPr>
            <a:xfrm>
              <a:off x="1802607" y="1871663"/>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38" name="Скругленный прямоугольник 50">
              <a:extLst>
                <a:ext uri="{FF2B5EF4-FFF2-40B4-BE49-F238E27FC236}">
                  <a16:creationId xmlns:a16="http://schemas.microsoft.com/office/drawing/2014/main" id="{FC820DA7-8D8F-C15D-BBDF-AF6AE22BF5BD}"/>
                </a:ext>
              </a:extLst>
            </xdr:cNvPr>
            <xdr:cNvSpPr/>
          </xdr:nvSpPr>
          <xdr:spPr>
            <a:xfrm>
              <a:off x="1802607" y="2209800"/>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39" name="Скругленный прямоугольник 52">
              <a:extLst>
                <a:ext uri="{FF2B5EF4-FFF2-40B4-BE49-F238E27FC236}">
                  <a16:creationId xmlns:a16="http://schemas.microsoft.com/office/drawing/2014/main" id="{BFACD01B-6436-DF3A-55E0-C67CD4B374CA}"/>
                </a:ext>
              </a:extLst>
            </xdr:cNvPr>
            <xdr:cNvSpPr/>
          </xdr:nvSpPr>
          <xdr:spPr>
            <a:xfrm>
              <a:off x="1802607" y="2547937"/>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0" name="Скругленный прямоугольник 66">
              <a:extLst>
                <a:ext uri="{FF2B5EF4-FFF2-40B4-BE49-F238E27FC236}">
                  <a16:creationId xmlns:a16="http://schemas.microsoft.com/office/drawing/2014/main" id="{0774610D-8A80-6446-0E55-6114210FEB63}"/>
                </a:ext>
              </a:extLst>
            </xdr:cNvPr>
            <xdr:cNvSpPr/>
          </xdr:nvSpPr>
          <xdr:spPr>
            <a:xfrm>
              <a:off x="1802607" y="2886074"/>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1" name="Скругленный прямоугольник 67">
              <a:extLst>
                <a:ext uri="{FF2B5EF4-FFF2-40B4-BE49-F238E27FC236}">
                  <a16:creationId xmlns:a16="http://schemas.microsoft.com/office/drawing/2014/main" id="{91F06EBF-A59E-133E-0169-BD69D04F9FE2}"/>
                </a:ext>
              </a:extLst>
            </xdr:cNvPr>
            <xdr:cNvSpPr/>
          </xdr:nvSpPr>
          <xdr:spPr>
            <a:xfrm>
              <a:off x="1802607" y="3224211"/>
              <a:ext cx="821531"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sp macro="" textlink="">
        <xdr:nvSpPr>
          <xdr:cNvPr id="36" name="Freeform 67">
            <a:extLst>
              <a:ext uri="{FF2B5EF4-FFF2-40B4-BE49-F238E27FC236}">
                <a16:creationId xmlns:a16="http://schemas.microsoft.com/office/drawing/2014/main" id="{7AF7AF8E-576A-9FB2-2C94-8FE4B702E6E6}"/>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clientData/>
  </xdr:twoCellAnchor>
  <xdr:twoCellAnchor>
    <xdr:from>
      <xdr:col>0</xdr:col>
      <xdr:colOff>0</xdr:colOff>
      <xdr:row>16</xdr:row>
      <xdr:rowOff>150530</xdr:rowOff>
    </xdr:from>
    <xdr:to>
      <xdr:col>5</xdr:col>
      <xdr:colOff>304800</xdr:colOff>
      <xdr:row>19</xdr:row>
      <xdr:rowOff>176205</xdr:rowOff>
    </xdr:to>
    <xdr:sp macro="" textlink="">
      <xdr:nvSpPr>
        <xdr:cNvPr id="42" name="TextBox 30">
          <a:extLst>
            <a:ext uri="{FF2B5EF4-FFF2-40B4-BE49-F238E27FC236}">
              <a16:creationId xmlns:a16="http://schemas.microsoft.com/office/drawing/2014/main" id="{039C0241-CCCC-42DB-BD63-3536E4FC033F}"/>
            </a:ext>
          </a:extLst>
        </xdr:cNvPr>
        <xdr:cNvSpPr txBox="1"/>
      </xdr:nvSpPr>
      <xdr:spPr>
        <a:xfrm>
          <a:off x="0" y="3198530"/>
          <a:ext cx="3352800" cy="597175"/>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r"/>
          <a:r>
            <a:rPr lang="en-AU" sz="1400" b="1">
              <a:solidFill>
                <a:srgbClr val="00C3FF"/>
              </a:solidFill>
              <a:ea typeface="Segoe UI" panose="020B0502040204020203" pitchFamily="34" charset="0"/>
              <a:cs typeface="Segoe UI" panose="020B0502040204020203" pitchFamily="34" charset="0"/>
            </a:rPr>
            <a:t>DEVELOPMENT ENVIRONMENT</a:t>
          </a:r>
          <a:r>
            <a:rPr lang="en-US" sz="1400" b="1">
              <a:solidFill>
                <a:srgbClr val="00C3FF"/>
              </a:solidFill>
              <a:ea typeface="Segoe UI" panose="020B0502040204020203" pitchFamily="34" charset="0"/>
              <a:cs typeface="Segoe UI" panose="020B0502040204020203" pitchFamily="34" charset="0"/>
            </a:rPr>
            <a:t>   02</a:t>
          </a:r>
        </a:p>
      </xdr:txBody>
    </xdr:sp>
    <xdr:clientData/>
  </xdr:twoCellAnchor>
  <xdr:twoCellAnchor>
    <xdr:from>
      <xdr:col>0</xdr:col>
      <xdr:colOff>190988</xdr:colOff>
      <xdr:row>18</xdr:row>
      <xdr:rowOff>176099</xdr:rowOff>
    </xdr:from>
    <xdr:to>
      <xdr:col>5</xdr:col>
      <xdr:colOff>82494</xdr:colOff>
      <xdr:row>21</xdr:row>
      <xdr:rowOff>134364</xdr:rowOff>
    </xdr:to>
    <xdr:sp macro="" textlink="">
      <xdr:nvSpPr>
        <xdr:cNvPr id="43" name="Прямоугольник 404">
          <a:extLst>
            <a:ext uri="{FF2B5EF4-FFF2-40B4-BE49-F238E27FC236}">
              <a16:creationId xmlns:a16="http://schemas.microsoft.com/office/drawing/2014/main" id="{F5405E37-2CE4-4EC3-A470-A6DFD1E5052F}"/>
            </a:ext>
          </a:extLst>
        </xdr:cNvPr>
        <xdr:cNvSpPr/>
      </xdr:nvSpPr>
      <xdr:spPr bwMode="auto">
        <a:xfrm>
          <a:off x="190988" y="3605099"/>
          <a:ext cx="2939506" cy="529765"/>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r" eaLnBrk="1" fontAlgn="auto" hangingPunct="1">
            <a:spcBef>
              <a:spcPts val="0"/>
            </a:spcBef>
            <a:spcAft>
              <a:spcPts val="0"/>
            </a:spcAft>
          </a:pPr>
          <a:r>
            <a:rPr lang="en-AU" sz="1200" kern="0">
              <a:solidFill>
                <a:srgbClr val="001031"/>
              </a:solidFill>
              <a:latin typeface="Segoe UI"/>
            </a:rPr>
            <a:t>Secure configuration of tools used for</a:t>
          </a:r>
          <a:r>
            <a:rPr lang="ru-RU" sz="1200" kern="0" baseline="0">
              <a:solidFill>
                <a:srgbClr val="001031"/>
              </a:solidFill>
              <a:latin typeface="Segoe UI"/>
            </a:rPr>
            <a:t> </a:t>
          </a:r>
          <a:r>
            <a:rPr lang="en-AU" sz="1200" kern="0">
              <a:solidFill>
                <a:srgbClr val="001031"/>
              </a:solidFill>
              <a:latin typeface="Segoe UI"/>
            </a:rPr>
            <a:t>development automation</a:t>
          </a:r>
          <a:endParaRPr lang="en-US" sz="1200" kern="0">
            <a:solidFill>
              <a:srgbClr val="001031"/>
            </a:solidFill>
            <a:latin typeface="Segoe UI"/>
          </a:endParaRPr>
        </a:p>
      </xdr:txBody>
    </xdr:sp>
    <xdr:clientData/>
  </xdr:twoCellAnchor>
  <xdr:twoCellAnchor>
    <xdr:from>
      <xdr:col>5</xdr:col>
      <xdr:colOff>265115</xdr:colOff>
      <xdr:row>17</xdr:row>
      <xdr:rowOff>145506</xdr:rowOff>
    </xdr:from>
    <xdr:to>
      <xdr:col>5</xdr:col>
      <xdr:colOff>311331</xdr:colOff>
      <xdr:row>20</xdr:row>
      <xdr:rowOff>187082</xdr:rowOff>
    </xdr:to>
    <xdr:sp macro="" textlink="">
      <xdr:nvSpPr>
        <xdr:cNvPr id="44" name="Прямоугольник 405">
          <a:extLst>
            <a:ext uri="{FF2B5EF4-FFF2-40B4-BE49-F238E27FC236}">
              <a16:creationId xmlns:a16="http://schemas.microsoft.com/office/drawing/2014/main" id="{4425670D-4CEE-406D-BAA6-453036711A88}"/>
            </a:ext>
          </a:extLst>
        </xdr:cNvPr>
        <xdr:cNvSpPr/>
      </xdr:nvSpPr>
      <xdr:spPr bwMode="auto">
        <a:xfrm>
          <a:off x="3313115" y="3384006"/>
          <a:ext cx="46216" cy="613076"/>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280281</xdr:colOff>
      <xdr:row>19</xdr:row>
      <xdr:rowOff>77544</xdr:rowOff>
    </xdr:from>
    <xdr:to>
      <xdr:col>7</xdr:col>
      <xdr:colOff>141429</xdr:colOff>
      <xdr:row>25</xdr:row>
      <xdr:rowOff>79661</xdr:rowOff>
    </xdr:to>
    <xdr:sp macro="" textlink="">
      <xdr:nvSpPr>
        <xdr:cNvPr id="45" name="Полилиния: фигура 406">
          <a:extLst>
            <a:ext uri="{FF2B5EF4-FFF2-40B4-BE49-F238E27FC236}">
              <a16:creationId xmlns:a16="http://schemas.microsoft.com/office/drawing/2014/main" id="{1724E087-640B-4EB4-A974-4DEE1E82E48E}"/>
            </a:ext>
          </a:extLst>
        </xdr:cNvPr>
        <xdr:cNvSpPr/>
      </xdr:nvSpPr>
      <xdr:spPr bwMode="auto">
        <a:xfrm>
          <a:off x="3328281" y="3697044"/>
          <a:ext cx="1080348" cy="1145117"/>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90841</xdr:colOff>
      <xdr:row>18</xdr:row>
      <xdr:rowOff>40771</xdr:rowOff>
    </xdr:from>
    <xdr:to>
      <xdr:col>7</xdr:col>
      <xdr:colOff>346746</xdr:colOff>
      <xdr:row>19</xdr:row>
      <xdr:rowOff>113796</xdr:rowOff>
    </xdr:to>
    <xdr:sp macro="" textlink="">
      <xdr:nvSpPr>
        <xdr:cNvPr id="46" name="Овал 407">
          <a:extLst>
            <a:ext uri="{FF2B5EF4-FFF2-40B4-BE49-F238E27FC236}">
              <a16:creationId xmlns:a16="http://schemas.microsoft.com/office/drawing/2014/main" id="{2CCDFEC9-E35C-4768-A014-08C468FA49E4}"/>
            </a:ext>
          </a:extLst>
        </xdr:cNvPr>
        <xdr:cNvSpPr/>
      </xdr:nvSpPr>
      <xdr:spPr bwMode="auto">
        <a:xfrm>
          <a:off x="4358041" y="3469771"/>
          <a:ext cx="255905" cy="263525"/>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133386</xdr:colOff>
      <xdr:row>18</xdr:row>
      <xdr:rowOff>75696</xdr:rowOff>
    </xdr:from>
    <xdr:to>
      <xdr:col>7</xdr:col>
      <xdr:colOff>315631</xdr:colOff>
      <xdr:row>19</xdr:row>
      <xdr:rowOff>78871</xdr:rowOff>
    </xdr:to>
    <xdr:sp macro="" textlink="">
      <xdr:nvSpPr>
        <xdr:cNvPr id="47" name="Овал 408">
          <a:extLst>
            <a:ext uri="{FF2B5EF4-FFF2-40B4-BE49-F238E27FC236}">
              <a16:creationId xmlns:a16="http://schemas.microsoft.com/office/drawing/2014/main" id="{34ED30CB-3663-4897-B318-DF7D1356BC32}"/>
            </a:ext>
          </a:extLst>
        </xdr:cNvPr>
        <xdr:cNvSpPr/>
      </xdr:nvSpPr>
      <xdr:spPr bwMode="auto">
        <a:xfrm>
          <a:off x="4400586" y="3504696"/>
          <a:ext cx="182245" cy="193675"/>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531749</xdr:colOff>
      <xdr:row>19</xdr:row>
      <xdr:rowOff>126149</xdr:rowOff>
    </xdr:from>
    <xdr:to>
      <xdr:col>7</xdr:col>
      <xdr:colOff>167121</xdr:colOff>
      <xdr:row>19</xdr:row>
      <xdr:rowOff>177583</xdr:rowOff>
    </xdr:to>
    <xdr:sp macro="" textlink="">
      <xdr:nvSpPr>
        <xdr:cNvPr id="48" name="Прямоугольник 409">
          <a:extLst>
            <a:ext uri="{FF2B5EF4-FFF2-40B4-BE49-F238E27FC236}">
              <a16:creationId xmlns:a16="http://schemas.microsoft.com/office/drawing/2014/main" id="{063E70C0-7607-47A7-A8EB-3E5A07F0A25C}"/>
            </a:ext>
          </a:extLst>
        </xdr:cNvPr>
        <xdr:cNvSpPr/>
      </xdr:nvSpPr>
      <xdr:spPr bwMode="auto">
        <a:xfrm rot="18900000">
          <a:off x="4189349" y="3745649"/>
          <a:ext cx="244972" cy="51434"/>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533306</xdr:colOff>
      <xdr:row>20</xdr:row>
      <xdr:rowOff>154956</xdr:rowOff>
    </xdr:from>
    <xdr:to>
      <xdr:col>6</xdr:col>
      <xdr:colOff>504631</xdr:colOff>
      <xdr:row>24</xdr:row>
      <xdr:rowOff>1007</xdr:rowOff>
    </xdr:to>
    <xdr:grpSp>
      <xdr:nvGrpSpPr>
        <xdr:cNvPr id="49" name="Группа 410">
          <a:extLst>
            <a:ext uri="{FF2B5EF4-FFF2-40B4-BE49-F238E27FC236}">
              <a16:creationId xmlns:a16="http://schemas.microsoft.com/office/drawing/2014/main" id="{24519FF5-7F54-4249-B7AE-3DB3C750DBBF}"/>
            </a:ext>
          </a:extLst>
        </xdr:cNvPr>
        <xdr:cNvGrpSpPr>
          <a:grpSpLocks noChangeAspect="1"/>
        </xdr:cNvGrpSpPr>
      </xdr:nvGrpSpPr>
      <xdr:grpSpPr>
        <a:xfrm>
          <a:off x="3558894" y="3964956"/>
          <a:ext cx="576443" cy="608051"/>
          <a:chOff x="-1361378" y="658496"/>
          <a:chExt cx="1173998" cy="1169644"/>
        </a:xfrm>
        <a:solidFill>
          <a:srgbClr val="00C3FF"/>
        </a:solidFill>
      </xdr:grpSpPr>
      <xdr:sp macro="" textlink="">
        <xdr:nvSpPr>
          <xdr:cNvPr id="50" name="Полилиния: фигура 433">
            <a:extLst>
              <a:ext uri="{FF2B5EF4-FFF2-40B4-BE49-F238E27FC236}">
                <a16:creationId xmlns:a16="http://schemas.microsoft.com/office/drawing/2014/main" id="{8112273E-4F08-E3F3-F520-48AA89797ACA}"/>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1" name="Стрелка: вверх 434">
            <a:extLst>
              <a:ext uri="{FF2B5EF4-FFF2-40B4-BE49-F238E27FC236}">
                <a16:creationId xmlns:a16="http://schemas.microsoft.com/office/drawing/2014/main" id="{FB419A01-5FCC-C344-0F81-91A4B2AE9D8E}"/>
              </a:ext>
            </a:extLst>
          </xdr:cNvPr>
          <xdr:cNvSpPr/>
        </xdr:nvSpPr>
        <xdr:spPr>
          <a:xfrm rot="2740581">
            <a:off x="-879362" y="1042552"/>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2" name="Стрелка: вверх 435">
            <a:extLst>
              <a:ext uri="{FF2B5EF4-FFF2-40B4-BE49-F238E27FC236}">
                <a16:creationId xmlns:a16="http://schemas.microsoft.com/office/drawing/2014/main" id="{68047208-6491-8C02-B432-5B66E3183CFC}"/>
              </a:ext>
            </a:extLst>
          </xdr:cNvPr>
          <xdr:cNvSpPr/>
        </xdr:nvSpPr>
        <xdr:spPr>
          <a:xfrm rot="5400000">
            <a:off x="-842935" y="1127078"/>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3" name="Стрелка: вверх 436">
            <a:extLst>
              <a:ext uri="{FF2B5EF4-FFF2-40B4-BE49-F238E27FC236}">
                <a16:creationId xmlns:a16="http://schemas.microsoft.com/office/drawing/2014/main" id="{32FA99F3-925A-17E6-3C94-314E02858D46}"/>
              </a:ext>
            </a:extLst>
          </xdr:cNvPr>
          <xdr:cNvSpPr/>
        </xdr:nvSpPr>
        <xdr:spPr>
          <a:xfrm rot="18859419" flipV="1">
            <a:off x="-879362" y="1211603"/>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4" name="Полилиния: фигура 437">
            <a:extLst>
              <a:ext uri="{FF2B5EF4-FFF2-40B4-BE49-F238E27FC236}">
                <a16:creationId xmlns:a16="http://schemas.microsoft.com/office/drawing/2014/main" id="{B6F2D7B8-A9C2-2AF7-1ACC-CBDE32BCD87C}"/>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5" name="Овал 438">
            <a:extLst>
              <a:ext uri="{FF2B5EF4-FFF2-40B4-BE49-F238E27FC236}">
                <a16:creationId xmlns:a16="http://schemas.microsoft.com/office/drawing/2014/main" id="{8A7972A0-2B96-2D22-C74D-34BC871EDDC0}"/>
              </a:ext>
            </a:extLst>
          </xdr:cNvPr>
          <xdr:cNvSpPr/>
        </xdr:nvSpPr>
        <xdr:spPr>
          <a:xfrm>
            <a:off x="-671885"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6" name="Овал 439">
            <a:extLst>
              <a:ext uri="{FF2B5EF4-FFF2-40B4-BE49-F238E27FC236}">
                <a16:creationId xmlns:a16="http://schemas.microsoft.com/office/drawing/2014/main" id="{0E25FD6E-DBA9-C14D-8DEE-6C7A8EF49F15}"/>
              </a:ext>
            </a:extLst>
          </xdr:cNvPr>
          <xdr:cNvSpPr/>
        </xdr:nvSpPr>
        <xdr:spPr>
          <a:xfrm>
            <a:off x="-758760" y="974818"/>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7" name="Овал 440">
            <a:extLst>
              <a:ext uri="{FF2B5EF4-FFF2-40B4-BE49-F238E27FC236}">
                <a16:creationId xmlns:a16="http://schemas.microsoft.com/office/drawing/2014/main" id="{B2EA254B-DECF-5AE9-177A-62383F3F33DF}"/>
              </a:ext>
            </a:extLst>
          </xdr:cNvPr>
          <xdr:cNvSpPr/>
        </xdr:nvSpPr>
        <xdr:spPr>
          <a:xfrm>
            <a:off x="-764294" y="1394257"/>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8" name="Овал 441">
            <a:extLst>
              <a:ext uri="{FF2B5EF4-FFF2-40B4-BE49-F238E27FC236}">
                <a16:creationId xmlns:a16="http://schemas.microsoft.com/office/drawing/2014/main" id="{0343CBD2-B062-58EA-11BC-FBF0790FC0CA}"/>
              </a:ext>
            </a:extLst>
          </xdr:cNvPr>
          <xdr:cNvSpPr/>
        </xdr:nvSpPr>
        <xdr:spPr>
          <a:xfrm>
            <a:off x="-1041196" y="1146683"/>
            <a:ext cx="176266" cy="176264"/>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59" name="Овал 442">
            <a:extLst>
              <a:ext uri="{FF2B5EF4-FFF2-40B4-BE49-F238E27FC236}">
                <a16:creationId xmlns:a16="http://schemas.microsoft.com/office/drawing/2014/main" id="{80B8A773-E056-E8B2-6136-480A16490E5C}"/>
              </a:ext>
            </a:extLst>
          </xdr:cNvPr>
          <xdr:cNvSpPr/>
        </xdr:nvSpPr>
        <xdr:spPr>
          <a:xfrm>
            <a:off x="-1007768"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grpSp>
    <xdr:clientData/>
  </xdr:twoCellAnchor>
  <xdr:twoCellAnchor>
    <xdr:from>
      <xdr:col>4</xdr:col>
      <xdr:colOff>293739</xdr:colOff>
      <xdr:row>10</xdr:row>
      <xdr:rowOff>61187</xdr:rowOff>
    </xdr:from>
    <xdr:to>
      <xdr:col>5</xdr:col>
      <xdr:colOff>46479</xdr:colOff>
      <xdr:row>13</xdr:row>
      <xdr:rowOff>76120</xdr:rowOff>
    </xdr:to>
    <xdr:grpSp>
      <xdr:nvGrpSpPr>
        <xdr:cNvPr id="60" name="Группа 411">
          <a:extLst>
            <a:ext uri="{FF2B5EF4-FFF2-40B4-BE49-F238E27FC236}">
              <a16:creationId xmlns:a16="http://schemas.microsoft.com/office/drawing/2014/main" id="{6E5A8839-DC09-414F-BE6E-8FDA6F9E07EA}"/>
            </a:ext>
          </a:extLst>
        </xdr:cNvPr>
        <xdr:cNvGrpSpPr>
          <a:grpSpLocks noChangeAspect="1"/>
        </xdr:cNvGrpSpPr>
      </xdr:nvGrpSpPr>
      <xdr:grpSpPr>
        <a:xfrm>
          <a:off x="2714210" y="1966187"/>
          <a:ext cx="357857" cy="586433"/>
          <a:chOff x="606861" y="1802438"/>
          <a:chExt cx="199023" cy="313294"/>
        </a:xfrm>
      </xdr:grpSpPr>
      <xdr:sp macro="" textlink="">
        <xdr:nvSpPr>
          <xdr:cNvPr id="61" name="Скругленный прямоугольник 399">
            <a:extLst>
              <a:ext uri="{FF2B5EF4-FFF2-40B4-BE49-F238E27FC236}">
                <a16:creationId xmlns:a16="http://schemas.microsoft.com/office/drawing/2014/main" id="{26646C9D-58C7-7B7A-9411-60B1FD9ACEB2}"/>
              </a:ext>
            </a:extLst>
          </xdr:cNvPr>
          <xdr:cNvSpPr/>
        </xdr:nvSpPr>
        <xdr:spPr>
          <a:xfrm>
            <a:off x="606861" y="1802438"/>
            <a:ext cx="199023" cy="313294"/>
          </a:xfrm>
          <a:prstGeom prst="roundRect">
            <a:avLst>
              <a:gd name="adj" fmla="val 9968"/>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62" name="Скругленный прямоугольник 400">
            <a:extLst>
              <a:ext uri="{FF2B5EF4-FFF2-40B4-BE49-F238E27FC236}">
                <a16:creationId xmlns:a16="http://schemas.microsoft.com/office/drawing/2014/main" id="{5AD4876E-F161-12B8-FD5F-56BF2CB4BCBD}"/>
              </a:ext>
            </a:extLst>
          </xdr:cNvPr>
          <xdr:cNvSpPr/>
        </xdr:nvSpPr>
        <xdr:spPr>
          <a:xfrm>
            <a:off x="641380" y="1855764"/>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63" name="Скругленный прямоугольник 401">
            <a:extLst>
              <a:ext uri="{FF2B5EF4-FFF2-40B4-BE49-F238E27FC236}">
                <a16:creationId xmlns:a16="http://schemas.microsoft.com/office/drawing/2014/main" id="{E094EAAD-F9BE-6649-78D9-8F85BDFB6D5E}"/>
              </a:ext>
            </a:extLst>
          </xdr:cNvPr>
          <xdr:cNvSpPr/>
        </xdr:nvSpPr>
        <xdr:spPr>
          <a:xfrm>
            <a:off x="641380" y="1905281"/>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54" name="Скругленный прямоугольник 402">
            <a:extLst>
              <a:ext uri="{FF2B5EF4-FFF2-40B4-BE49-F238E27FC236}">
                <a16:creationId xmlns:a16="http://schemas.microsoft.com/office/drawing/2014/main" id="{97879E63-46C6-BEE5-9490-CBD8E45CAE8D}"/>
              </a:ext>
            </a:extLst>
          </xdr:cNvPr>
          <xdr:cNvSpPr/>
        </xdr:nvSpPr>
        <xdr:spPr>
          <a:xfrm>
            <a:off x="641380" y="1954799"/>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55" name="Овал 432">
            <a:extLst>
              <a:ext uri="{FF2B5EF4-FFF2-40B4-BE49-F238E27FC236}">
                <a16:creationId xmlns:a16="http://schemas.microsoft.com/office/drawing/2014/main" id="{64EC8EE0-A5F3-B275-9821-A1CF8F734C09}"/>
              </a:ext>
            </a:extLst>
          </xdr:cNvPr>
          <xdr:cNvSpPr/>
        </xdr:nvSpPr>
        <xdr:spPr>
          <a:xfrm>
            <a:off x="685899" y="2048122"/>
            <a:ext cx="40947" cy="40947"/>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clientData/>
  </xdr:twoCellAnchor>
  <xdr:twoCellAnchor>
    <xdr:from>
      <xdr:col>11</xdr:col>
      <xdr:colOff>552193</xdr:colOff>
      <xdr:row>10</xdr:row>
      <xdr:rowOff>61187</xdr:rowOff>
    </xdr:from>
    <xdr:to>
      <xdr:col>12</xdr:col>
      <xdr:colOff>399033</xdr:colOff>
      <xdr:row>13</xdr:row>
      <xdr:rowOff>76119</xdr:rowOff>
    </xdr:to>
    <xdr:grpSp>
      <xdr:nvGrpSpPr>
        <xdr:cNvPr id="456" name="Группа 412">
          <a:extLst>
            <a:ext uri="{FF2B5EF4-FFF2-40B4-BE49-F238E27FC236}">
              <a16:creationId xmlns:a16="http://schemas.microsoft.com/office/drawing/2014/main" id="{F4361999-03CF-495A-87F1-EB3BF96C41D4}"/>
            </a:ext>
          </a:extLst>
        </xdr:cNvPr>
        <xdr:cNvGrpSpPr>
          <a:grpSpLocks noChangeAspect="1"/>
        </xdr:cNvGrpSpPr>
      </xdr:nvGrpSpPr>
      <xdr:grpSpPr>
        <a:xfrm>
          <a:off x="7208487" y="1966187"/>
          <a:ext cx="451958" cy="586432"/>
          <a:chOff x="2963652" y="203672"/>
          <a:chExt cx="5472608" cy="6753720"/>
        </a:xfrm>
        <a:solidFill>
          <a:srgbClr val="00C3FF"/>
        </a:solidFill>
      </xdr:grpSpPr>
      <xdr:sp macro="" textlink="">
        <xdr:nvSpPr>
          <xdr:cNvPr id="460" name="Полилиния 26">
            <a:extLst>
              <a:ext uri="{FF2B5EF4-FFF2-40B4-BE49-F238E27FC236}">
                <a16:creationId xmlns:a16="http://schemas.microsoft.com/office/drawing/2014/main" id="{BF5C99B3-4A9B-A5A3-2AA5-0FA6FE33E7A3}"/>
              </a:ext>
            </a:extLst>
          </xdr:cNvPr>
          <xdr:cNvSpPr/>
        </xdr:nvSpPr>
        <xdr:spPr bwMode="auto">
          <a:xfrm>
            <a:off x="2963652" y="3825044"/>
            <a:ext cx="5472608" cy="3132348"/>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1" name="Полилиния 27">
            <a:extLst>
              <a:ext uri="{FF2B5EF4-FFF2-40B4-BE49-F238E27FC236}">
                <a16:creationId xmlns:a16="http://schemas.microsoft.com/office/drawing/2014/main" id="{2C108C9C-AD52-D035-10AB-E5EF5E8BB57F}"/>
              </a:ext>
            </a:extLst>
          </xdr:cNvPr>
          <xdr:cNvSpPr/>
        </xdr:nvSpPr>
        <xdr:spPr bwMode="auto">
          <a:xfrm>
            <a:off x="3208537" y="3222500"/>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2" name="Полилиния 28">
            <a:extLst>
              <a:ext uri="{FF2B5EF4-FFF2-40B4-BE49-F238E27FC236}">
                <a16:creationId xmlns:a16="http://schemas.microsoft.com/office/drawing/2014/main" id="{518DE172-14F9-994B-275B-5AA4A9F18D5A}"/>
              </a:ext>
            </a:extLst>
          </xdr:cNvPr>
          <xdr:cNvSpPr/>
        </xdr:nvSpPr>
        <xdr:spPr bwMode="auto">
          <a:xfrm>
            <a:off x="5318421" y="1714500"/>
            <a:ext cx="799805" cy="822323"/>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3" name="Полилиния 29">
            <a:extLst>
              <a:ext uri="{FF2B5EF4-FFF2-40B4-BE49-F238E27FC236}">
                <a16:creationId xmlns:a16="http://schemas.microsoft.com/office/drawing/2014/main" id="{B8178727-1F75-E42C-6F73-69814BE0C3CB}"/>
              </a:ext>
            </a:extLst>
          </xdr:cNvPr>
          <xdr:cNvSpPr/>
        </xdr:nvSpPr>
        <xdr:spPr bwMode="auto">
          <a:xfrm flipH="1">
            <a:off x="5290642" y="652460"/>
            <a:ext cx="810205" cy="1013180"/>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4" name="Овал 422">
            <a:extLst>
              <a:ext uri="{FF2B5EF4-FFF2-40B4-BE49-F238E27FC236}">
                <a16:creationId xmlns:a16="http://schemas.microsoft.com/office/drawing/2014/main" id="{4B6E841B-4C6A-01FA-6BB8-6CEC8B185DE0}"/>
              </a:ext>
            </a:extLst>
          </xdr:cNvPr>
          <xdr:cNvSpPr/>
        </xdr:nvSpPr>
        <xdr:spPr bwMode="auto">
          <a:xfrm>
            <a:off x="5599688" y="1181144"/>
            <a:ext cx="187350" cy="187350"/>
          </a:xfrm>
          <a:prstGeom prst="ellipse">
            <a:avLst/>
          </a:pr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5" name="Полилиния 31">
            <a:extLst>
              <a:ext uri="{FF2B5EF4-FFF2-40B4-BE49-F238E27FC236}">
                <a16:creationId xmlns:a16="http://schemas.microsoft.com/office/drawing/2014/main" id="{A6B4C2E3-7C3F-A87F-9AFD-E2DA66A960FD}"/>
              </a:ext>
            </a:extLst>
          </xdr:cNvPr>
          <xdr:cNvSpPr/>
        </xdr:nvSpPr>
        <xdr:spPr bwMode="auto">
          <a:xfrm>
            <a:off x="5288261" y="203673"/>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6" name="Полилиния 32">
            <a:extLst>
              <a:ext uri="{FF2B5EF4-FFF2-40B4-BE49-F238E27FC236}">
                <a16:creationId xmlns:a16="http://schemas.microsoft.com/office/drawing/2014/main" id="{7964CC03-4940-1FBA-3D0A-D64109D23C39}"/>
              </a:ext>
            </a:extLst>
          </xdr:cNvPr>
          <xdr:cNvSpPr/>
        </xdr:nvSpPr>
        <xdr:spPr bwMode="auto">
          <a:xfrm flipH="1">
            <a:off x="5995576" y="203672"/>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7" name="Полилиния 33">
            <a:extLst>
              <a:ext uri="{FF2B5EF4-FFF2-40B4-BE49-F238E27FC236}">
                <a16:creationId xmlns:a16="http://schemas.microsoft.com/office/drawing/2014/main" id="{12CA3E85-0A60-EEED-94BA-D20D4AEAF207}"/>
              </a:ext>
            </a:extLst>
          </xdr:cNvPr>
          <xdr:cNvSpPr/>
        </xdr:nvSpPr>
        <xdr:spPr bwMode="auto">
          <a:xfrm flipH="1">
            <a:off x="7717037" y="3228341"/>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8" name="Скругленный прямоугольник 34">
            <a:extLst>
              <a:ext uri="{FF2B5EF4-FFF2-40B4-BE49-F238E27FC236}">
                <a16:creationId xmlns:a16="http://schemas.microsoft.com/office/drawing/2014/main" id="{C44DB488-A872-672D-1659-8C5D96369D38}"/>
              </a:ext>
            </a:extLst>
          </xdr:cNvPr>
          <xdr:cNvSpPr/>
        </xdr:nvSpPr>
        <xdr:spPr bwMode="auto">
          <a:xfrm rot="1632461">
            <a:off x="5463821" y="2799422"/>
            <a:ext cx="2691975" cy="146470"/>
          </a:xfrm>
          <a:prstGeom prst="roundRect">
            <a:avLst>
              <a:gd name="adj" fmla="val 50000"/>
            </a:avLst>
          </a:pr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69" name="Полилиния 35">
            <a:extLst>
              <a:ext uri="{FF2B5EF4-FFF2-40B4-BE49-F238E27FC236}">
                <a16:creationId xmlns:a16="http://schemas.microsoft.com/office/drawing/2014/main" id="{786BB3D8-2377-5DE1-BBEE-A5F37CE26587}"/>
              </a:ext>
            </a:extLst>
          </xdr:cNvPr>
          <xdr:cNvSpPr/>
        </xdr:nvSpPr>
        <xdr:spPr bwMode="auto">
          <a:xfrm rot="19967539" flipH="1">
            <a:off x="3254927" y="2881156"/>
            <a:ext cx="2334449"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grpSp>
    <xdr:clientData/>
  </xdr:twoCellAnchor>
  <xdr:twoCellAnchor>
    <xdr:from>
      <xdr:col>7</xdr:col>
      <xdr:colOff>294061</xdr:colOff>
      <xdr:row>9</xdr:row>
      <xdr:rowOff>34429</xdr:rowOff>
    </xdr:from>
    <xdr:to>
      <xdr:col>9</xdr:col>
      <xdr:colOff>347138</xdr:colOff>
      <xdr:row>14</xdr:row>
      <xdr:rowOff>98857</xdr:rowOff>
    </xdr:to>
    <xdr:grpSp>
      <xdr:nvGrpSpPr>
        <xdr:cNvPr id="470" name="Группа 413">
          <a:extLst>
            <a:ext uri="{FF2B5EF4-FFF2-40B4-BE49-F238E27FC236}">
              <a16:creationId xmlns:a16="http://schemas.microsoft.com/office/drawing/2014/main" id="{514A97EE-4DEC-4C0C-B2C1-5A8D118B04FD}"/>
            </a:ext>
          </a:extLst>
        </xdr:cNvPr>
        <xdr:cNvGrpSpPr/>
      </xdr:nvGrpSpPr>
      <xdr:grpSpPr>
        <a:xfrm>
          <a:off x="4529885" y="1748929"/>
          <a:ext cx="1263312" cy="1016928"/>
          <a:chOff x="2346961" y="1478280"/>
          <a:chExt cx="4434840" cy="3360420"/>
        </a:xfrm>
        <a:solidFill>
          <a:srgbClr val="00C3FF"/>
        </a:solidFill>
      </xdr:grpSpPr>
      <xdr:sp macro="" textlink="">
        <xdr:nvSpPr>
          <xdr:cNvPr id="471" name="Скругленный прямоугольник 160">
            <a:extLst>
              <a:ext uri="{FF2B5EF4-FFF2-40B4-BE49-F238E27FC236}">
                <a16:creationId xmlns:a16="http://schemas.microsoft.com/office/drawing/2014/main" id="{01DDB6B3-F812-EF58-6653-CA532C341A3D}"/>
              </a:ext>
            </a:extLst>
          </xdr:cNvPr>
          <xdr:cNvSpPr/>
        </xdr:nvSpPr>
        <xdr:spPr>
          <a:xfrm rot="17439639">
            <a:off x="3595825" y="3232975"/>
            <a:ext cx="1965544" cy="288345"/>
          </a:xfrm>
          <a:prstGeom prst="roundRect">
            <a:avLst>
              <a:gd name="adj" fmla="val 50000"/>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472" name="Полилиния 161">
            <a:extLst>
              <a:ext uri="{FF2B5EF4-FFF2-40B4-BE49-F238E27FC236}">
                <a16:creationId xmlns:a16="http://schemas.microsoft.com/office/drawing/2014/main" id="{F9469AB4-2D95-328B-A103-0BBD28A6FEAF}"/>
              </a:ext>
            </a:extLst>
          </xdr:cNvPr>
          <xdr:cNvSpPr/>
        </xdr:nvSpPr>
        <xdr:spPr>
          <a:xfrm rot="18900000">
            <a:off x="3232751" y="2736613"/>
            <a:ext cx="1205763" cy="1205761"/>
          </a:xfrm>
          <a:custGeom>
            <a:avLst/>
            <a:gdLst>
              <a:gd name="connsiteX0" fmla="*/ 144174 w 1205763"/>
              <a:gd name="connsiteY0" fmla="*/ 1205761 h 1205761"/>
              <a:gd name="connsiteX1" fmla="*/ 144173 w 1205763"/>
              <a:gd name="connsiteY1" fmla="*/ 1205761 h 1205761"/>
              <a:gd name="connsiteX2" fmla="*/ 144174 w 1205763"/>
              <a:gd name="connsiteY2" fmla="*/ 1205760 h 1205761"/>
              <a:gd name="connsiteX3" fmla="*/ 1163536 w 1205763"/>
              <a:gd name="connsiteY3" fmla="*/ 42227 h 1205761"/>
              <a:gd name="connsiteX4" fmla="*/ 1205763 w 1205763"/>
              <a:gd name="connsiteY4" fmla="*/ 144173 h 1205761"/>
              <a:gd name="connsiteX5" fmla="*/ 1205762 w 1205763"/>
              <a:gd name="connsiteY5" fmla="*/ 144173 h 1205761"/>
              <a:gd name="connsiteX6" fmla="*/ 1061589 w 1205763"/>
              <a:gd name="connsiteY6" fmla="*/ 288346 h 1205761"/>
              <a:gd name="connsiteX7" fmla="*/ 288346 w 1205763"/>
              <a:gd name="connsiteY7" fmla="*/ 288345 h 1205761"/>
              <a:gd name="connsiteX8" fmla="*/ 288346 w 1205763"/>
              <a:gd name="connsiteY8" fmla="*/ 1061588 h 1205761"/>
              <a:gd name="connsiteX9" fmla="*/ 200292 w 1205763"/>
              <a:gd name="connsiteY9" fmla="*/ 1194431 h 1205761"/>
              <a:gd name="connsiteX10" fmla="*/ 144174 w 1205763"/>
              <a:gd name="connsiteY10" fmla="*/ 1205760 h 1205761"/>
              <a:gd name="connsiteX11" fmla="*/ 88056 w 1205763"/>
              <a:gd name="connsiteY11" fmla="*/ 1194431 h 1205761"/>
              <a:gd name="connsiteX12" fmla="*/ 1 w 1205763"/>
              <a:gd name="connsiteY12" fmla="*/ 1061588 h 1205761"/>
              <a:gd name="connsiteX13" fmla="*/ 0 w 1205763"/>
              <a:gd name="connsiteY13" fmla="*/ 146756 h 1205761"/>
              <a:gd name="connsiteX14" fmla="*/ 42227 w 1205763"/>
              <a:gd name="connsiteY14" fmla="*/ 44810 h 1205761"/>
              <a:gd name="connsiteX15" fmla="*/ 43772 w 1205763"/>
              <a:gd name="connsiteY15" fmla="*/ 43768 h 1205761"/>
              <a:gd name="connsiteX16" fmla="*/ 44811 w 1205763"/>
              <a:gd name="connsiteY16" fmla="*/ 42227 h 1205761"/>
              <a:gd name="connsiteX17" fmla="*/ 146757 w 1205763"/>
              <a:gd name="connsiteY17" fmla="*/ 0 h 1205761"/>
              <a:gd name="connsiteX18" fmla="*/ 1061590 w 1205763"/>
              <a:gd name="connsiteY18" fmla="*/ 0 h 1205761"/>
              <a:gd name="connsiteX19" fmla="*/ 1163536 w 1205763"/>
              <a:gd name="connsiteY19"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1205763" h="1205761">
                <a:moveTo>
                  <a:pt x="144174" y="1205761"/>
                </a:moveTo>
                <a:lnTo>
                  <a:pt x="144173" y="1205761"/>
                </a:lnTo>
                <a:lnTo>
                  <a:pt x="144174" y="1205760"/>
                </a:lnTo>
                <a:close/>
                <a:moveTo>
                  <a:pt x="1163536" y="42227"/>
                </a:moveTo>
                <a:cubicBezTo>
                  <a:pt x="1189626" y="68317"/>
                  <a:pt x="1205763" y="104360"/>
                  <a:pt x="1205763" y="144173"/>
                </a:cubicBezTo>
                <a:lnTo>
                  <a:pt x="1205762" y="144173"/>
                </a:lnTo>
                <a:cubicBezTo>
                  <a:pt x="1205762" y="223798"/>
                  <a:pt x="1141214" y="288346"/>
                  <a:pt x="1061589" y="288346"/>
                </a:cubicBezTo>
                <a:lnTo>
                  <a:pt x="288346" y="288345"/>
                </a:lnTo>
                <a:lnTo>
                  <a:pt x="288346" y="1061588"/>
                </a:lnTo>
                <a:cubicBezTo>
                  <a:pt x="288347" y="1121306"/>
                  <a:pt x="252038" y="1172544"/>
                  <a:pt x="200292" y="1194431"/>
                </a:cubicBezTo>
                <a:lnTo>
                  <a:pt x="144174" y="1205760"/>
                </a:lnTo>
                <a:lnTo>
                  <a:pt x="88056" y="1194431"/>
                </a:lnTo>
                <a:cubicBezTo>
                  <a:pt x="36310" y="1172544"/>
                  <a:pt x="1" y="1121307"/>
                  <a:pt x="1" y="1061588"/>
                </a:cubicBezTo>
                <a:lnTo>
                  <a:pt x="0" y="146756"/>
                </a:lnTo>
                <a:cubicBezTo>
                  <a:pt x="0" y="106943"/>
                  <a:pt x="16137" y="70900"/>
                  <a:pt x="42227" y="44810"/>
                </a:cubicBezTo>
                <a:lnTo>
                  <a:pt x="43772" y="43768"/>
                </a:lnTo>
                <a:lnTo>
                  <a:pt x="44811" y="42227"/>
                </a:lnTo>
                <a:cubicBezTo>
                  <a:pt x="70901" y="16137"/>
                  <a:pt x="106945" y="0"/>
                  <a:pt x="146757" y="0"/>
                </a:cubicBezTo>
                <a:lnTo>
                  <a:pt x="1061590" y="0"/>
                </a:lnTo>
                <a:cubicBezTo>
                  <a:pt x="1101403" y="0"/>
                  <a:pt x="1137446" y="16137"/>
                  <a:pt x="1163536" y="42227"/>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473" name="Полилиния 162">
            <a:extLst>
              <a:ext uri="{FF2B5EF4-FFF2-40B4-BE49-F238E27FC236}">
                <a16:creationId xmlns:a16="http://schemas.microsoft.com/office/drawing/2014/main" id="{A79A4735-07B4-2B0C-4917-4DD615AB2391}"/>
              </a:ext>
            </a:extLst>
          </xdr:cNvPr>
          <xdr:cNvSpPr/>
        </xdr:nvSpPr>
        <xdr:spPr>
          <a:xfrm rot="2700000" flipH="1">
            <a:off x="4695654" y="2709968"/>
            <a:ext cx="1205763" cy="1205761"/>
          </a:xfrm>
          <a:custGeom>
            <a:avLst/>
            <a:gdLst>
              <a:gd name="connsiteX0" fmla="*/ 1163536 w 1205763"/>
              <a:gd name="connsiteY0" fmla="*/ 42227 h 1205761"/>
              <a:gd name="connsiteX1" fmla="*/ 1061590 w 1205763"/>
              <a:gd name="connsiteY1" fmla="*/ 0 h 1205761"/>
              <a:gd name="connsiteX2" fmla="*/ 146757 w 1205763"/>
              <a:gd name="connsiteY2" fmla="*/ 0 h 1205761"/>
              <a:gd name="connsiteX3" fmla="*/ 44811 w 1205763"/>
              <a:gd name="connsiteY3" fmla="*/ 42227 h 1205761"/>
              <a:gd name="connsiteX4" fmla="*/ 43772 w 1205763"/>
              <a:gd name="connsiteY4" fmla="*/ 43768 h 1205761"/>
              <a:gd name="connsiteX5" fmla="*/ 42227 w 1205763"/>
              <a:gd name="connsiteY5" fmla="*/ 44810 h 1205761"/>
              <a:gd name="connsiteX6" fmla="*/ 0 w 1205763"/>
              <a:gd name="connsiteY6" fmla="*/ 146756 h 1205761"/>
              <a:gd name="connsiteX7" fmla="*/ 1 w 1205763"/>
              <a:gd name="connsiteY7" fmla="*/ 1061588 h 1205761"/>
              <a:gd name="connsiteX8" fmla="*/ 144174 w 1205763"/>
              <a:gd name="connsiteY8" fmla="*/ 1205761 h 1205761"/>
              <a:gd name="connsiteX9" fmla="*/ 144174 w 1205763"/>
              <a:gd name="connsiteY9" fmla="*/ 1205761 h 1205761"/>
              <a:gd name="connsiteX10" fmla="*/ 288347 w 1205763"/>
              <a:gd name="connsiteY10" fmla="*/ 1061588 h 1205761"/>
              <a:gd name="connsiteX11" fmla="*/ 288346 w 1205763"/>
              <a:gd name="connsiteY11" fmla="*/ 288345 h 1205761"/>
              <a:gd name="connsiteX12" fmla="*/ 1061589 w 1205763"/>
              <a:gd name="connsiteY12" fmla="*/ 288346 h 1205761"/>
              <a:gd name="connsiteX13" fmla="*/ 1205762 w 1205763"/>
              <a:gd name="connsiteY13" fmla="*/ 144173 h 1205761"/>
              <a:gd name="connsiteX14" fmla="*/ 1205763 w 1205763"/>
              <a:gd name="connsiteY14" fmla="*/ 144173 h 1205761"/>
              <a:gd name="connsiteX15" fmla="*/ 1163536 w 1205763"/>
              <a:gd name="connsiteY15"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205763" h="1205761">
                <a:moveTo>
                  <a:pt x="1163536" y="42227"/>
                </a:moveTo>
                <a:cubicBezTo>
                  <a:pt x="1137446" y="16137"/>
                  <a:pt x="1101403" y="0"/>
                  <a:pt x="1061590" y="0"/>
                </a:cubicBezTo>
                <a:lnTo>
                  <a:pt x="146757" y="0"/>
                </a:lnTo>
                <a:cubicBezTo>
                  <a:pt x="106945" y="0"/>
                  <a:pt x="70902" y="16137"/>
                  <a:pt x="44811" y="42227"/>
                </a:cubicBezTo>
                <a:lnTo>
                  <a:pt x="43772" y="43768"/>
                </a:lnTo>
                <a:lnTo>
                  <a:pt x="42227" y="44810"/>
                </a:lnTo>
                <a:cubicBezTo>
                  <a:pt x="16137" y="70900"/>
                  <a:pt x="0" y="106943"/>
                  <a:pt x="0" y="146756"/>
                </a:cubicBezTo>
                <a:lnTo>
                  <a:pt x="1" y="1061588"/>
                </a:lnTo>
                <a:cubicBezTo>
                  <a:pt x="1" y="1141213"/>
                  <a:pt x="64549" y="1205761"/>
                  <a:pt x="144174" y="1205761"/>
                </a:cubicBezTo>
                <a:lnTo>
                  <a:pt x="144174" y="1205761"/>
                </a:lnTo>
                <a:cubicBezTo>
                  <a:pt x="223798" y="1205761"/>
                  <a:pt x="288346" y="1141213"/>
                  <a:pt x="288347" y="1061588"/>
                </a:cubicBezTo>
                <a:lnTo>
                  <a:pt x="288346" y="288345"/>
                </a:lnTo>
                <a:lnTo>
                  <a:pt x="1061589" y="288346"/>
                </a:lnTo>
                <a:cubicBezTo>
                  <a:pt x="1141214" y="288346"/>
                  <a:pt x="1205762" y="223798"/>
                  <a:pt x="1205762" y="144173"/>
                </a:cubicBezTo>
                <a:lnTo>
                  <a:pt x="1205763" y="144173"/>
                </a:lnTo>
                <a:cubicBezTo>
                  <a:pt x="1205763" y="104360"/>
                  <a:pt x="1189626" y="68317"/>
                  <a:pt x="1163536" y="42227"/>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474" name="Полилиния 163">
            <a:extLst>
              <a:ext uri="{FF2B5EF4-FFF2-40B4-BE49-F238E27FC236}">
                <a16:creationId xmlns:a16="http://schemas.microsoft.com/office/drawing/2014/main" id="{B79A634E-7B75-B9D8-4FE7-DB322FD95359}"/>
              </a:ext>
            </a:extLst>
          </xdr:cNvPr>
          <xdr:cNvSpPr/>
        </xdr:nvSpPr>
        <xdr:spPr>
          <a:xfrm>
            <a:off x="2346961" y="1478280"/>
            <a:ext cx="4434840" cy="3360420"/>
          </a:xfrm>
          <a:custGeom>
            <a:avLst/>
            <a:gdLst>
              <a:gd name="connsiteX0" fmla="*/ 198118 w 4434840"/>
              <a:gd name="connsiteY0" fmla="*/ 563880 h 3360420"/>
              <a:gd name="connsiteX1" fmla="*/ 198118 w 4434840"/>
              <a:gd name="connsiteY1" fmla="*/ 3009404 h 3360420"/>
              <a:gd name="connsiteX2" fmla="*/ 366254 w 4434840"/>
              <a:gd name="connsiteY2" fmla="*/ 3177540 h 3360420"/>
              <a:gd name="connsiteX3" fmla="*/ 4083823 w 4434840"/>
              <a:gd name="connsiteY3" fmla="*/ 3177540 h 3360420"/>
              <a:gd name="connsiteX4" fmla="*/ 4251959 w 4434840"/>
              <a:gd name="connsiteY4" fmla="*/ 3009404 h 3360420"/>
              <a:gd name="connsiteX5" fmla="*/ 4251959 w 4434840"/>
              <a:gd name="connsiteY5" fmla="*/ 563880 h 3360420"/>
              <a:gd name="connsiteX6" fmla="*/ 4003040 w 4434840"/>
              <a:gd name="connsiteY6" fmla="*/ 135890 h 3360420"/>
              <a:gd name="connsiteX7" fmla="*/ 3958589 w 4434840"/>
              <a:gd name="connsiteY7" fmla="*/ 180341 h 3360420"/>
              <a:gd name="connsiteX8" fmla="*/ 3958589 w 4434840"/>
              <a:gd name="connsiteY8" fmla="*/ 358139 h 3360420"/>
              <a:gd name="connsiteX9" fmla="*/ 4003040 w 4434840"/>
              <a:gd name="connsiteY9" fmla="*/ 402590 h 3360420"/>
              <a:gd name="connsiteX10" fmla="*/ 4188458 w 4434840"/>
              <a:gd name="connsiteY10" fmla="*/ 402590 h 3360420"/>
              <a:gd name="connsiteX11" fmla="*/ 4232909 w 4434840"/>
              <a:gd name="connsiteY11" fmla="*/ 358139 h 3360420"/>
              <a:gd name="connsiteX12" fmla="*/ 4232909 w 4434840"/>
              <a:gd name="connsiteY12" fmla="*/ 180341 h 3360420"/>
              <a:gd name="connsiteX13" fmla="*/ 4188458 w 4434840"/>
              <a:gd name="connsiteY13" fmla="*/ 135890 h 3360420"/>
              <a:gd name="connsiteX14" fmla="*/ 3631565 w 4434840"/>
              <a:gd name="connsiteY14" fmla="*/ 135890 h 3360420"/>
              <a:gd name="connsiteX15" fmla="*/ 3587114 w 4434840"/>
              <a:gd name="connsiteY15" fmla="*/ 180341 h 3360420"/>
              <a:gd name="connsiteX16" fmla="*/ 3587114 w 4434840"/>
              <a:gd name="connsiteY16" fmla="*/ 358139 h 3360420"/>
              <a:gd name="connsiteX17" fmla="*/ 3631565 w 4434840"/>
              <a:gd name="connsiteY17" fmla="*/ 402590 h 3360420"/>
              <a:gd name="connsiteX18" fmla="*/ 3816983 w 4434840"/>
              <a:gd name="connsiteY18" fmla="*/ 402590 h 3360420"/>
              <a:gd name="connsiteX19" fmla="*/ 3861434 w 4434840"/>
              <a:gd name="connsiteY19" fmla="*/ 358139 h 3360420"/>
              <a:gd name="connsiteX20" fmla="*/ 3861434 w 4434840"/>
              <a:gd name="connsiteY20" fmla="*/ 180341 h 3360420"/>
              <a:gd name="connsiteX21" fmla="*/ 3816983 w 4434840"/>
              <a:gd name="connsiteY21" fmla="*/ 135890 h 3360420"/>
              <a:gd name="connsiteX22" fmla="*/ 3260090 w 4434840"/>
              <a:gd name="connsiteY22" fmla="*/ 135890 h 3360420"/>
              <a:gd name="connsiteX23" fmla="*/ 3215639 w 4434840"/>
              <a:gd name="connsiteY23" fmla="*/ 180341 h 3360420"/>
              <a:gd name="connsiteX24" fmla="*/ 3215639 w 4434840"/>
              <a:gd name="connsiteY24" fmla="*/ 358139 h 3360420"/>
              <a:gd name="connsiteX25" fmla="*/ 3260090 w 4434840"/>
              <a:gd name="connsiteY25" fmla="*/ 402590 h 3360420"/>
              <a:gd name="connsiteX26" fmla="*/ 3445508 w 4434840"/>
              <a:gd name="connsiteY26" fmla="*/ 402590 h 3360420"/>
              <a:gd name="connsiteX27" fmla="*/ 3489959 w 4434840"/>
              <a:gd name="connsiteY27" fmla="*/ 358139 h 3360420"/>
              <a:gd name="connsiteX28" fmla="*/ 3489959 w 4434840"/>
              <a:gd name="connsiteY28" fmla="*/ 180341 h 3360420"/>
              <a:gd name="connsiteX29" fmla="*/ 3445508 w 4434840"/>
              <a:gd name="connsiteY29" fmla="*/ 135890 h 3360420"/>
              <a:gd name="connsiteX30" fmla="*/ 346728 w 4434840"/>
              <a:gd name="connsiteY30" fmla="*/ 0 h 3360420"/>
              <a:gd name="connsiteX31" fmla="*/ 4088112 w 4434840"/>
              <a:gd name="connsiteY31" fmla="*/ 0 h 3360420"/>
              <a:gd name="connsiteX32" fmla="*/ 4434840 w 4434840"/>
              <a:gd name="connsiteY32" fmla="*/ 346728 h 3360420"/>
              <a:gd name="connsiteX33" fmla="*/ 4434840 w 4434840"/>
              <a:gd name="connsiteY33" fmla="*/ 3013692 h 3360420"/>
              <a:gd name="connsiteX34" fmla="*/ 4088112 w 4434840"/>
              <a:gd name="connsiteY34" fmla="*/ 3360420 h 3360420"/>
              <a:gd name="connsiteX35" fmla="*/ 346728 w 4434840"/>
              <a:gd name="connsiteY35" fmla="*/ 3360420 h 3360420"/>
              <a:gd name="connsiteX36" fmla="*/ 0 w 4434840"/>
              <a:gd name="connsiteY36" fmla="*/ 3013692 h 3360420"/>
              <a:gd name="connsiteX37" fmla="*/ 0 w 4434840"/>
              <a:gd name="connsiteY37" fmla="*/ 346728 h 3360420"/>
              <a:gd name="connsiteX38" fmla="*/ 346728 w 4434840"/>
              <a:gd name="connsiteY38" fmla="*/ 0 h 33604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434840" h="3360420">
                <a:moveTo>
                  <a:pt x="198118" y="563880"/>
                </a:moveTo>
                <a:lnTo>
                  <a:pt x="198118" y="3009404"/>
                </a:lnTo>
                <a:cubicBezTo>
                  <a:pt x="198118" y="3102263"/>
                  <a:pt x="273395" y="3177540"/>
                  <a:pt x="366254" y="3177540"/>
                </a:cubicBezTo>
                <a:lnTo>
                  <a:pt x="4083823" y="3177540"/>
                </a:lnTo>
                <a:cubicBezTo>
                  <a:pt x="4176682" y="3177540"/>
                  <a:pt x="4251959" y="3102263"/>
                  <a:pt x="4251959" y="3009404"/>
                </a:cubicBezTo>
                <a:lnTo>
                  <a:pt x="4251959" y="563880"/>
                </a:lnTo>
                <a:close/>
                <a:moveTo>
                  <a:pt x="4003040" y="135890"/>
                </a:moveTo>
                <a:cubicBezTo>
                  <a:pt x="3978490" y="135890"/>
                  <a:pt x="3958589" y="155791"/>
                  <a:pt x="3958589" y="180341"/>
                </a:cubicBezTo>
                <a:lnTo>
                  <a:pt x="3958589" y="358139"/>
                </a:lnTo>
                <a:cubicBezTo>
                  <a:pt x="3958589" y="382689"/>
                  <a:pt x="3978490" y="402590"/>
                  <a:pt x="4003040" y="402590"/>
                </a:cubicBezTo>
                <a:lnTo>
                  <a:pt x="4188458" y="402590"/>
                </a:lnTo>
                <a:cubicBezTo>
                  <a:pt x="4213008" y="402590"/>
                  <a:pt x="4232909" y="382689"/>
                  <a:pt x="4232909" y="358139"/>
                </a:cubicBezTo>
                <a:lnTo>
                  <a:pt x="4232909" y="180341"/>
                </a:lnTo>
                <a:cubicBezTo>
                  <a:pt x="4232909" y="155791"/>
                  <a:pt x="4213008" y="135890"/>
                  <a:pt x="4188458" y="135890"/>
                </a:cubicBezTo>
                <a:close/>
                <a:moveTo>
                  <a:pt x="3631565" y="135890"/>
                </a:moveTo>
                <a:cubicBezTo>
                  <a:pt x="3607015" y="135890"/>
                  <a:pt x="3587114" y="155791"/>
                  <a:pt x="3587114" y="180341"/>
                </a:cubicBezTo>
                <a:lnTo>
                  <a:pt x="3587114" y="358139"/>
                </a:lnTo>
                <a:cubicBezTo>
                  <a:pt x="3587114" y="382689"/>
                  <a:pt x="3607015" y="402590"/>
                  <a:pt x="3631565" y="402590"/>
                </a:cubicBezTo>
                <a:lnTo>
                  <a:pt x="3816983" y="402590"/>
                </a:lnTo>
                <a:cubicBezTo>
                  <a:pt x="3841533" y="402590"/>
                  <a:pt x="3861434" y="382689"/>
                  <a:pt x="3861434" y="358139"/>
                </a:cubicBezTo>
                <a:lnTo>
                  <a:pt x="3861434" y="180341"/>
                </a:lnTo>
                <a:cubicBezTo>
                  <a:pt x="3861434" y="155791"/>
                  <a:pt x="3841533" y="135890"/>
                  <a:pt x="3816983" y="135890"/>
                </a:cubicBezTo>
                <a:close/>
                <a:moveTo>
                  <a:pt x="3260090" y="135890"/>
                </a:moveTo>
                <a:cubicBezTo>
                  <a:pt x="3235540" y="135890"/>
                  <a:pt x="3215639" y="155791"/>
                  <a:pt x="3215639" y="180341"/>
                </a:cubicBezTo>
                <a:lnTo>
                  <a:pt x="3215639" y="358139"/>
                </a:lnTo>
                <a:cubicBezTo>
                  <a:pt x="3215639" y="382689"/>
                  <a:pt x="3235540" y="402590"/>
                  <a:pt x="3260090" y="402590"/>
                </a:cubicBezTo>
                <a:lnTo>
                  <a:pt x="3445508" y="402590"/>
                </a:lnTo>
                <a:cubicBezTo>
                  <a:pt x="3470058" y="402590"/>
                  <a:pt x="3489959" y="382689"/>
                  <a:pt x="3489959" y="358139"/>
                </a:cubicBezTo>
                <a:lnTo>
                  <a:pt x="3489959" y="180341"/>
                </a:lnTo>
                <a:cubicBezTo>
                  <a:pt x="3489959" y="155791"/>
                  <a:pt x="3470058" y="135890"/>
                  <a:pt x="3445508" y="135890"/>
                </a:cubicBezTo>
                <a:close/>
                <a:moveTo>
                  <a:pt x="346728" y="0"/>
                </a:moveTo>
                <a:lnTo>
                  <a:pt x="4088112" y="0"/>
                </a:lnTo>
                <a:cubicBezTo>
                  <a:pt x="4279605" y="0"/>
                  <a:pt x="4434840" y="155235"/>
                  <a:pt x="4434840" y="346728"/>
                </a:cubicBezTo>
                <a:lnTo>
                  <a:pt x="4434840" y="3013692"/>
                </a:lnTo>
                <a:cubicBezTo>
                  <a:pt x="4434840" y="3205185"/>
                  <a:pt x="4279605" y="3360420"/>
                  <a:pt x="4088112" y="3360420"/>
                </a:cubicBezTo>
                <a:lnTo>
                  <a:pt x="346728" y="3360420"/>
                </a:lnTo>
                <a:cubicBezTo>
                  <a:pt x="155235" y="3360420"/>
                  <a:pt x="0" y="3205185"/>
                  <a:pt x="0" y="3013692"/>
                </a:cubicBezTo>
                <a:lnTo>
                  <a:pt x="0" y="346728"/>
                </a:lnTo>
                <a:cubicBezTo>
                  <a:pt x="0" y="155235"/>
                  <a:pt x="155235" y="0"/>
                  <a:pt x="346728" y="0"/>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grpSp>
    <xdr:clientData/>
  </xdr:twoCellAnchor>
  <xdr:twoCellAnchor>
    <xdr:from>
      <xdr:col>9</xdr:col>
      <xdr:colOff>42300</xdr:colOff>
      <xdr:row>28</xdr:row>
      <xdr:rowOff>31758</xdr:rowOff>
    </xdr:from>
    <xdr:to>
      <xdr:col>9</xdr:col>
      <xdr:colOff>547639</xdr:colOff>
      <xdr:row>31</xdr:row>
      <xdr:rowOff>92005</xdr:rowOff>
    </xdr:to>
    <xdr:grpSp>
      <xdr:nvGrpSpPr>
        <xdr:cNvPr id="475" name="Группа 456">
          <a:extLst>
            <a:ext uri="{FF2B5EF4-FFF2-40B4-BE49-F238E27FC236}">
              <a16:creationId xmlns:a16="http://schemas.microsoft.com/office/drawing/2014/main" id="{C630BB89-593B-43DF-8ED0-86FD230372FA}"/>
            </a:ext>
          </a:extLst>
        </xdr:cNvPr>
        <xdr:cNvGrpSpPr/>
      </xdr:nvGrpSpPr>
      <xdr:grpSpPr>
        <a:xfrm rot="5400000">
          <a:off x="5425155" y="5428962"/>
          <a:ext cx="631747" cy="505339"/>
          <a:chOff x="2074536" y="1072624"/>
          <a:chExt cx="5932257" cy="5021213"/>
        </a:xfrm>
        <a:solidFill>
          <a:schemeClr val="accent2"/>
        </a:solidFill>
      </xdr:grpSpPr>
      <xdr:sp macro="" textlink="">
        <xdr:nvSpPr>
          <xdr:cNvPr id="491" name="Полилиния 22">
            <a:extLst>
              <a:ext uri="{FF2B5EF4-FFF2-40B4-BE49-F238E27FC236}">
                <a16:creationId xmlns:a16="http://schemas.microsoft.com/office/drawing/2014/main" id="{0496C33C-5B6D-27D8-6774-78D61D5CEF62}"/>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495" name="Полилиния 23">
            <a:extLst>
              <a:ext uri="{FF2B5EF4-FFF2-40B4-BE49-F238E27FC236}">
                <a16:creationId xmlns:a16="http://schemas.microsoft.com/office/drawing/2014/main" id="{077E3C6A-A2D2-7480-C9B2-5271A6601C60}"/>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0</xdr:col>
      <xdr:colOff>0</xdr:colOff>
      <xdr:row>33</xdr:row>
      <xdr:rowOff>124239</xdr:rowOff>
    </xdr:from>
    <xdr:to>
      <xdr:col>17</xdr:col>
      <xdr:colOff>362939</xdr:colOff>
      <xdr:row>38</xdr:row>
      <xdr:rowOff>181195</xdr:rowOff>
    </xdr:to>
    <xdr:sp macro="" textlink="">
      <xdr:nvSpPr>
        <xdr:cNvPr id="496" name="Заголовок 1">
          <a:extLst>
            <a:ext uri="{FF2B5EF4-FFF2-40B4-BE49-F238E27FC236}">
              <a16:creationId xmlns:a16="http://schemas.microsoft.com/office/drawing/2014/main" id="{524A266B-3A35-456C-B1D5-72512DB12984}"/>
            </a:ext>
          </a:extLst>
        </xdr:cNvPr>
        <xdr:cNvSpPr>
          <a:spLocks noGrp="1"/>
        </xdr:cNvSpPr>
      </xdr:nvSpPr>
      <xdr:spPr>
        <a:xfrm>
          <a:off x="0" y="6410739"/>
          <a:ext cx="10726139" cy="1009456"/>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en-US"/>
            <a:t>DEV</a:t>
          </a:r>
          <a:r>
            <a:rPr lang="en-US">
              <a:solidFill>
                <a:srgbClr val="00C3FF"/>
              </a:solidFill>
            </a:rPr>
            <a:t>SEC</a:t>
          </a:r>
          <a:r>
            <a:rPr lang="en-US"/>
            <a:t>OPS PRACTICES HELICOPTER VIEW</a:t>
          </a:r>
          <a:endParaRPr lang="ru-RU"/>
        </a:p>
      </xdr:txBody>
    </xdr:sp>
    <xdr:clientData/>
  </xdr:twoCellAnchor>
  <xdr:twoCellAnchor>
    <xdr:from>
      <xdr:col>0</xdr:col>
      <xdr:colOff>131576</xdr:colOff>
      <xdr:row>45</xdr:row>
      <xdr:rowOff>97668</xdr:rowOff>
    </xdr:from>
    <xdr:to>
      <xdr:col>9</xdr:col>
      <xdr:colOff>151176</xdr:colOff>
      <xdr:row>51</xdr:row>
      <xdr:rowOff>160443</xdr:rowOff>
    </xdr:to>
    <xdr:sp macro="" textlink="">
      <xdr:nvSpPr>
        <xdr:cNvPr id="497" name="Скругленный прямоугольник 2">
          <a:extLst>
            <a:ext uri="{FF2B5EF4-FFF2-40B4-BE49-F238E27FC236}">
              <a16:creationId xmlns:a16="http://schemas.microsoft.com/office/drawing/2014/main" id="{DC5F9A12-545D-413D-B170-A3B26EC2B906}"/>
            </a:ext>
          </a:extLst>
        </xdr:cNvPr>
        <xdr:cNvSpPr/>
      </xdr:nvSpPr>
      <xdr:spPr>
        <a:xfrm>
          <a:off x="131576" y="8670168"/>
          <a:ext cx="5506000" cy="1205775"/>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Tool-Based security defects detection and analysis</a:t>
          </a:r>
          <a:endParaRPr lang="en-US" sz="1400" b="1" cap="all"/>
        </a:p>
      </xdr:txBody>
    </xdr:sp>
    <xdr:clientData/>
  </xdr:twoCellAnchor>
  <xdr:twoCellAnchor>
    <xdr:from>
      <xdr:col>0</xdr:col>
      <xdr:colOff>131568</xdr:colOff>
      <xdr:row>52</xdr:row>
      <xdr:rowOff>143013</xdr:rowOff>
    </xdr:from>
    <xdr:to>
      <xdr:col>9</xdr:col>
      <xdr:colOff>151171</xdr:colOff>
      <xdr:row>59</xdr:row>
      <xdr:rowOff>29284</xdr:rowOff>
    </xdr:to>
    <xdr:sp macro="" textlink="">
      <xdr:nvSpPr>
        <xdr:cNvPr id="498" name="Скругленный прямоугольник 3">
          <a:extLst>
            <a:ext uri="{FF2B5EF4-FFF2-40B4-BE49-F238E27FC236}">
              <a16:creationId xmlns:a16="http://schemas.microsoft.com/office/drawing/2014/main" id="{E1EA0306-E04E-40B9-B073-8877B84ADDC5}"/>
            </a:ext>
          </a:extLst>
        </xdr:cNvPr>
        <xdr:cNvSpPr/>
      </xdr:nvSpPr>
      <xdr:spPr>
        <a:xfrm>
          <a:off x="131568" y="10049013"/>
          <a:ext cx="5506003" cy="1219771"/>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Runtime application analysis (Pre-Prod environment)</a:t>
          </a:r>
          <a:endParaRPr lang="en-US" sz="1400" b="1" cap="all"/>
        </a:p>
      </xdr:txBody>
    </xdr:sp>
    <xdr:clientData/>
  </xdr:twoCellAnchor>
  <xdr:twoCellAnchor>
    <xdr:from>
      <xdr:col>16</xdr:col>
      <xdr:colOff>22589</xdr:colOff>
      <xdr:row>38</xdr:row>
      <xdr:rowOff>39669</xdr:rowOff>
    </xdr:from>
    <xdr:to>
      <xdr:col>18</xdr:col>
      <xdr:colOff>457374</xdr:colOff>
      <xdr:row>66</xdr:row>
      <xdr:rowOff>72721</xdr:rowOff>
    </xdr:to>
    <xdr:sp macro="" textlink="">
      <xdr:nvSpPr>
        <xdr:cNvPr id="499" name="Скругленный прямоугольник 4">
          <a:extLst>
            <a:ext uri="{FF2B5EF4-FFF2-40B4-BE49-F238E27FC236}">
              <a16:creationId xmlns:a16="http://schemas.microsoft.com/office/drawing/2014/main" id="{775D9542-7754-444A-9639-A7DAD34B59D0}"/>
            </a:ext>
          </a:extLst>
        </xdr:cNvPr>
        <xdr:cNvSpPr/>
      </xdr:nvSpPr>
      <xdr:spPr>
        <a:xfrm>
          <a:off x="9776189" y="7278669"/>
          <a:ext cx="1653985" cy="5367052"/>
        </a:xfrm>
        <a:prstGeom prst="roundRect">
          <a:avLst>
            <a:gd name="adj" fmla="val 7766"/>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Software security requirements management</a:t>
          </a:r>
          <a:endParaRPr lang="ru-RU" sz="1400" b="1" cap="all"/>
        </a:p>
      </xdr:txBody>
    </xdr:sp>
    <xdr:clientData/>
  </xdr:twoCellAnchor>
  <xdr:twoCellAnchor>
    <xdr:from>
      <xdr:col>9</xdr:col>
      <xdr:colOff>285148</xdr:colOff>
      <xdr:row>38</xdr:row>
      <xdr:rowOff>39669</xdr:rowOff>
    </xdr:from>
    <xdr:to>
      <xdr:col>15</xdr:col>
      <xdr:colOff>503436</xdr:colOff>
      <xdr:row>44</xdr:row>
      <xdr:rowOff>110064</xdr:rowOff>
    </xdr:to>
    <xdr:sp macro="" textlink="">
      <xdr:nvSpPr>
        <xdr:cNvPr id="500" name="Скругленный прямоугольник 5">
          <a:extLst>
            <a:ext uri="{FF2B5EF4-FFF2-40B4-BE49-F238E27FC236}">
              <a16:creationId xmlns:a16="http://schemas.microsoft.com/office/drawing/2014/main" id="{540A9F4E-8C90-4C7E-924C-17BC07E75EBD}"/>
            </a:ext>
          </a:extLst>
        </xdr:cNvPr>
        <xdr:cNvSpPr/>
      </xdr:nvSpPr>
      <xdr:spPr>
        <a:xfrm>
          <a:off x="5771548" y="7278669"/>
          <a:ext cx="3875888" cy="1213395"/>
        </a:xfrm>
        <a:prstGeom prst="roundRect">
          <a:avLst>
            <a:gd name="adj" fmla="val 1304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Training and knowledge management</a:t>
          </a:r>
          <a:endParaRPr lang="en-US" sz="1400" b="1" cap="all"/>
        </a:p>
      </xdr:txBody>
    </xdr:sp>
    <xdr:clientData/>
  </xdr:twoCellAnchor>
  <xdr:twoCellAnchor>
    <xdr:from>
      <xdr:col>9</xdr:col>
      <xdr:colOff>285148</xdr:colOff>
      <xdr:row>45</xdr:row>
      <xdr:rowOff>97668</xdr:rowOff>
    </xdr:from>
    <xdr:to>
      <xdr:col>15</xdr:col>
      <xdr:colOff>503435</xdr:colOff>
      <xdr:row>51</xdr:row>
      <xdr:rowOff>160443</xdr:rowOff>
    </xdr:to>
    <xdr:sp macro="" textlink="">
      <xdr:nvSpPr>
        <xdr:cNvPr id="501" name="Скругленный прямоугольник 6">
          <a:extLst>
            <a:ext uri="{FF2B5EF4-FFF2-40B4-BE49-F238E27FC236}">
              <a16:creationId xmlns:a16="http://schemas.microsoft.com/office/drawing/2014/main" id="{183BC998-20F2-46D5-8B5F-6D700D02A399}"/>
            </a:ext>
          </a:extLst>
        </xdr:cNvPr>
        <xdr:cNvSpPr/>
      </xdr:nvSpPr>
      <xdr:spPr>
        <a:xfrm>
          <a:off x="5771548" y="8670168"/>
          <a:ext cx="3875887" cy="1205775"/>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solidFill>
                <a:srgbClr val="001031"/>
              </a:solidFill>
              <a:latin typeface="Segoe UI" panose="020B0502040204020203" pitchFamily="34" charset="0"/>
            </a:rPr>
            <a:t>Development environment security</a:t>
          </a:r>
          <a:endParaRPr lang="en-US" sz="1400" b="1" cap="all">
            <a:solidFill>
              <a:srgbClr val="001031"/>
            </a:solidFill>
            <a:latin typeface="Segoe UI" panose="020B0502040204020203" pitchFamily="34" charset="0"/>
          </a:endParaRPr>
        </a:p>
      </xdr:txBody>
    </xdr:sp>
    <xdr:clientData/>
  </xdr:twoCellAnchor>
  <xdr:twoCellAnchor>
    <xdr:from>
      <xdr:col>0</xdr:col>
      <xdr:colOff>131577</xdr:colOff>
      <xdr:row>38</xdr:row>
      <xdr:rowOff>46610</xdr:rowOff>
    </xdr:from>
    <xdr:to>
      <xdr:col>9</xdr:col>
      <xdr:colOff>151176</xdr:colOff>
      <xdr:row>44</xdr:row>
      <xdr:rowOff>115099</xdr:rowOff>
    </xdr:to>
    <xdr:sp macro="" textlink="">
      <xdr:nvSpPr>
        <xdr:cNvPr id="502" name="Скругленный прямоугольник 7">
          <a:extLst>
            <a:ext uri="{FF2B5EF4-FFF2-40B4-BE49-F238E27FC236}">
              <a16:creationId xmlns:a16="http://schemas.microsoft.com/office/drawing/2014/main" id="{A45B6232-52D4-4106-A5F8-3FE2B7077F47}"/>
            </a:ext>
          </a:extLst>
        </xdr:cNvPr>
        <xdr:cNvSpPr/>
      </xdr:nvSpPr>
      <xdr:spPr>
        <a:xfrm>
          <a:off x="131577" y="7285610"/>
          <a:ext cx="5505999" cy="1211489"/>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baseline="0"/>
            <a:t>Security management and control of artifacts, dependencies, and images</a:t>
          </a:r>
          <a:endParaRPr lang="en-US" sz="1400" b="1" cap="all" baseline="0"/>
        </a:p>
      </xdr:txBody>
    </xdr:sp>
    <xdr:clientData/>
  </xdr:twoCellAnchor>
  <xdr:twoCellAnchor>
    <xdr:from>
      <xdr:col>9</xdr:col>
      <xdr:colOff>285148</xdr:colOff>
      <xdr:row>52</xdr:row>
      <xdr:rowOff>143013</xdr:rowOff>
    </xdr:from>
    <xdr:to>
      <xdr:col>15</xdr:col>
      <xdr:colOff>503436</xdr:colOff>
      <xdr:row>59</xdr:row>
      <xdr:rowOff>29285</xdr:rowOff>
    </xdr:to>
    <xdr:sp macro="" textlink="">
      <xdr:nvSpPr>
        <xdr:cNvPr id="503" name="Скругленный прямоугольник 9">
          <a:extLst>
            <a:ext uri="{FF2B5EF4-FFF2-40B4-BE49-F238E27FC236}">
              <a16:creationId xmlns:a16="http://schemas.microsoft.com/office/drawing/2014/main" id="{519B0680-B3E8-4719-BBA7-1072CB0E3B7F}"/>
            </a:ext>
          </a:extLst>
        </xdr:cNvPr>
        <xdr:cNvSpPr/>
      </xdr:nvSpPr>
      <xdr:spPr>
        <a:xfrm>
          <a:off x="5771548" y="10049013"/>
          <a:ext cx="3875888" cy="1219772"/>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Applications &amp; infrastructure security (Runtime in the production environment)</a:t>
          </a:r>
          <a:endParaRPr lang="en-US" sz="1400" b="1" cap="all"/>
        </a:p>
      </xdr:txBody>
    </xdr:sp>
    <xdr:clientData/>
  </xdr:twoCellAnchor>
  <xdr:twoCellAnchor>
    <xdr:from>
      <xdr:col>12</xdr:col>
      <xdr:colOff>456793</xdr:colOff>
      <xdr:row>60</xdr:row>
      <xdr:rowOff>11854</xdr:rowOff>
    </xdr:from>
    <xdr:to>
      <xdr:col>15</xdr:col>
      <xdr:colOff>503436</xdr:colOff>
      <xdr:row>66</xdr:row>
      <xdr:rowOff>72722</xdr:rowOff>
    </xdr:to>
    <xdr:sp macro="" textlink="">
      <xdr:nvSpPr>
        <xdr:cNvPr id="504" name="Скругленный прямоугольник 10">
          <a:extLst>
            <a:ext uri="{FF2B5EF4-FFF2-40B4-BE49-F238E27FC236}">
              <a16:creationId xmlns:a16="http://schemas.microsoft.com/office/drawing/2014/main" id="{C8C51FC3-C89C-4327-9FEE-3261A7249F36}"/>
            </a:ext>
          </a:extLst>
        </xdr:cNvPr>
        <xdr:cNvSpPr/>
      </xdr:nvSpPr>
      <xdr:spPr>
        <a:xfrm>
          <a:off x="7771993" y="11441854"/>
          <a:ext cx="1875443" cy="1203868"/>
        </a:xfrm>
        <a:prstGeom prst="roundRect">
          <a:avLst/>
        </a:prstGeom>
        <a:solidFill>
          <a:srgbClr val="FFFFFF">
            <a:alpha val="56000"/>
          </a:srgbClr>
        </a:solidFill>
        <a:ln w="6350">
          <a:solidFill>
            <a:srgbClr val="FFFFFF">
              <a:lumMod val="50000"/>
            </a:srgbClr>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baseline="0">
              <a:solidFill>
                <a:srgbClr val="FFFFFF">
                  <a:lumMod val="65000"/>
                </a:srgbClr>
              </a:solidFill>
              <a:latin typeface="Segoe UI" panose="020B0502040204020203" pitchFamily="34" charset="0"/>
            </a:rPr>
            <a:t>Related Processes</a:t>
          </a:r>
          <a:endParaRPr lang="en-US" sz="1400" b="1" cap="all" baseline="0">
            <a:solidFill>
              <a:srgbClr val="FFFFFF">
                <a:lumMod val="65000"/>
              </a:srgbClr>
            </a:solidFill>
            <a:latin typeface="Segoe UI" panose="020B0502040204020203" pitchFamily="34" charset="0"/>
          </a:endParaRPr>
        </a:p>
      </xdr:txBody>
    </xdr:sp>
    <xdr:clientData/>
  </xdr:twoCellAnchor>
  <xdr:twoCellAnchor>
    <xdr:from>
      <xdr:col>3</xdr:col>
      <xdr:colOff>94921</xdr:colOff>
      <xdr:row>67</xdr:row>
      <xdr:rowOff>34274</xdr:rowOff>
    </xdr:from>
    <xdr:to>
      <xdr:col>4</xdr:col>
      <xdr:colOff>72522</xdr:colOff>
      <xdr:row>68</xdr:row>
      <xdr:rowOff>111718</xdr:rowOff>
    </xdr:to>
    <xdr:sp macro="" textlink="">
      <xdr:nvSpPr>
        <xdr:cNvPr id="505" name="Скругленный прямоугольник 12">
          <a:extLst>
            <a:ext uri="{FF2B5EF4-FFF2-40B4-BE49-F238E27FC236}">
              <a16:creationId xmlns:a16="http://schemas.microsoft.com/office/drawing/2014/main" id="{A372205C-9303-407B-9430-8600F96BA009}"/>
            </a:ext>
          </a:extLst>
        </xdr:cNvPr>
        <xdr:cNvSpPr/>
      </xdr:nvSpPr>
      <xdr:spPr bwMode="auto">
        <a:xfrm>
          <a:off x="1923721" y="12797774"/>
          <a:ext cx="587201" cy="267944"/>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4</xdr:col>
      <xdr:colOff>148721</xdr:colOff>
      <xdr:row>67</xdr:row>
      <xdr:rowOff>34274</xdr:rowOff>
    </xdr:from>
    <xdr:to>
      <xdr:col>6</xdr:col>
      <xdr:colOff>258724</xdr:colOff>
      <xdr:row>68</xdr:row>
      <xdr:rowOff>111718</xdr:rowOff>
    </xdr:to>
    <xdr:sp macro="" textlink="">
      <xdr:nvSpPr>
        <xdr:cNvPr id="506" name="TextBox 13">
          <a:extLst>
            <a:ext uri="{FF2B5EF4-FFF2-40B4-BE49-F238E27FC236}">
              <a16:creationId xmlns:a16="http://schemas.microsoft.com/office/drawing/2014/main" id="{5C48634A-84E4-4384-A3F2-867C0C3A2BEB}"/>
            </a:ext>
          </a:extLst>
        </xdr:cNvPr>
        <xdr:cNvSpPr txBox="1"/>
      </xdr:nvSpPr>
      <xdr:spPr>
        <a:xfrm>
          <a:off x="2587121" y="12797774"/>
          <a:ext cx="1329203" cy="267944"/>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AU" sz="1400"/>
            <a:t>Technology-driven practices</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6</xdr:col>
      <xdr:colOff>476337</xdr:colOff>
      <xdr:row>67</xdr:row>
      <xdr:rowOff>34274</xdr:rowOff>
    </xdr:from>
    <xdr:to>
      <xdr:col>7</xdr:col>
      <xdr:colOff>453938</xdr:colOff>
      <xdr:row>68</xdr:row>
      <xdr:rowOff>111718</xdr:rowOff>
    </xdr:to>
    <xdr:sp macro="" textlink="">
      <xdr:nvSpPr>
        <xdr:cNvPr id="507" name="Скругленный прямоугольник 14">
          <a:extLst>
            <a:ext uri="{FF2B5EF4-FFF2-40B4-BE49-F238E27FC236}">
              <a16:creationId xmlns:a16="http://schemas.microsoft.com/office/drawing/2014/main" id="{1DF0EDA2-B58C-435C-8365-023252E2E629}"/>
            </a:ext>
          </a:extLst>
        </xdr:cNvPr>
        <xdr:cNvSpPr/>
      </xdr:nvSpPr>
      <xdr:spPr bwMode="auto">
        <a:xfrm>
          <a:off x="4133937" y="12797774"/>
          <a:ext cx="587201" cy="267944"/>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7</xdr:col>
      <xdr:colOff>530137</xdr:colOff>
      <xdr:row>67</xdr:row>
      <xdr:rowOff>34274</xdr:rowOff>
    </xdr:from>
    <xdr:to>
      <xdr:col>10</xdr:col>
      <xdr:colOff>206508</xdr:colOff>
      <xdr:row>68</xdr:row>
      <xdr:rowOff>111718</xdr:rowOff>
    </xdr:to>
    <xdr:sp macro="" textlink="">
      <xdr:nvSpPr>
        <xdr:cNvPr id="508" name="TextBox 15">
          <a:extLst>
            <a:ext uri="{FF2B5EF4-FFF2-40B4-BE49-F238E27FC236}">
              <a16:creationId xmlns:a16="http://schemas.microsoft.com/office/drawing/2014/main" id="{BB1D3AA4-768D-4666-8C4B-1FCF790134AE}"/>
            </a:ext>
          </a:extLst>
        </xdr:cNvPr>
        <xdr:cNvSpPr txBox="1"/>
      </xdr:nvSpPr>
      <xdr:spPr>
        <a:xfrm>
          <a:off x="4797337" y="12797774"/>
          <a:ext cx="1505171" cy="267944"/>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AU" sz="1400"/>
            <a:t>Process-oriented practices</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4</xdr:col>
      <xdr:colOff>215694</xdr:colOff>
      <xdr:row>60</xdr:row>
      <xdr:rowOff>3572</xdr:rowOff>
    </xdr:from>
    <xdr:to>
      <xdr:col>8</xdr:col>
      <xdr:colOff>91109</xdr:colOff>
      <xdr:row>66</xdr:row>
      <xdr:rowOff>64440</xdr:rowOff>
    </xdr:to>
    <xdr:sp macro="" textlink="">
      <xdr:nvSpPr>
        <xdr:cNvPr id="509" name="Скругленный прямоугольник 16">
          <a:extLst>
            <a:ext uri="{FF2B5EF4-FFF2-40B4-BE49-F238E27FC236}">
              <a16:creationId xmlns:a16="http://schemas.microsoft.com/office/drawing/2014/main" id="{9CD362ED-1B4C-4B42-845E-4DFE7FB4DF05}"/>
            </a:ext>
          </a:extLst>
        </xdr:cNvPr>
        <xdr:cNvSpPr/>
      </xdr:nvSpPr>
      <xdr:spPr>
        <a:xfrm>
          <a:off x="2654094" y="11433572"/>
          <a:ext cx="2313815" cy="1203868"/>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Security defects management</a:t>
          </a:r>
          <a:endParaRPr lang="en-US" sz="1400" b="1" cap="all"/>
        </a:p>
      </xdr:txBody>
    </xdr:sp>
    <xdr:clientData/>
  </xdr:twoCellAnchor>
  <xdr:twoCellAnchor>
    <xdr:from>
      <xdr:col>0</xdr:col>
      <xdr:colOff>131576</xdr:colOff>
      <xdr:row>60</xdr:row>
      <xdr:rowOff>11854</xdr:rowOff>
    </xdr:from>
    <xdr:to>
      <xdr:col>4</xdr:col>
      <xdr:colOff>41413</xdr:colOff>
      <xdr:row>66</xdr:row>
      <xdr:rowOff>72722</xdr:rowOff>
    </xdr:to>
    <xdr:sp macro="" textlink="">
      <xdr:nvSpPr>
        <xdr:cNvPr id="510" name="Скругленный прямоугольник 17">
          <a:extLst>
            <a:ext uri="{FF2B5EF4-FFF2-40B4-BE49-F238E27FC236}">
              <a16:creationId xmlns:a16="http://schemas.microsoft.com/office/drawing/2014/main" id="{E2195DD1-ED96-4993-8517-7AB10FBFDD40}"/>
            </a:ext>
          </a:extLst>
        </xdr:cNvPr>
        <xdr:cNvSpPr/>
      </xdr:nvSpPr>
      <xdr:spPr>
        <a:xfrm>
          <a:off x="131576" y="11441854"/>
          <a:ext cx="2348237" cy="1203868"/>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Functional roles</a:t>
          </a:r>
        </a:p>
      </xdr:txBody>
    </xdr:sp>
    <xdr:clientData/>
  </xdr:twoCellAnchor>
  <xdr:twoCellAnchor>
    <xdr:from>
      <xdr:col>9</xdr:col>
      <xdr:colOff>13110</xdr:colOff>
      <xdr:row>71</xdr:row>
      <xdr:rowOff>115870</xdr:rowOff>
    </xdr:from>
    <xdr:to>
      <xdr:col>9</xdr:col>
      <xdr:colOff>514639</xdr:colOff>
      <xdr:row>74</xdr:row>
      <xdr:rowOff>168497</xdr:rowOff>
    </xdr:to>
    <xdr:grpSp>
      <xdr:nvGrpSpPr>
        <xdr:cNvPr id="511" name="Группа 491">
          <a:extLst>
            <a:ext uri="{FF2B5EF4-FFF2-40B4-BE49-F238E27FC236}">
              <a16:creationId xmlns:a16="http://schemas.microsoft.com/office/drawing/2014/main" id="{EE093C36-F0B6-4A85-A44B-FA5C75E5EF02}"/>
            </a:ext>
          </a:extLst>
        </xdr:cNvPr>
        <xdr:cNvGrpSpPr/>
      </xdr:nvGrpSpPr>
      <xdr:grpSpPr>
        <a:xfrm rot="5400000">
          <a:off x="5397870" y="13702669"/>
          <a:ext cx="624127" cy="501529"/>
          <a:chOff x="2074536" y="1072624"/>
          <a:chExt cx="5932257" cy="5021213"/>
        </a:xfrm>
        <a:solidFill>
          <a:schemeClr val="accent2"/>
        </a:solidFill>
      </xdr:grpSpPr>
      <xdr:sp macro="" textlink="">
        <xdr:nvSpPr>
          <xdr:cNvPr id="512" name="Полилиния 22">
            <a:extLst>
              <a:ext uri="{FF2B5EF4-FFF2-40B4-BE49-F238E27FC236}">
                <a16:creationId xmlns:a16="http://schemas.microsoft.com/office/drawing/2014/main" id="{3FD5134C-B448-53C2-EE2F-CE9611E81033}"/>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513" name="Полилиния 23">
            <a:extLst>
              <a:ext uri="{FF2B5EF4-FFF2-40B4-BE49-F238E27FC236}">
                <a16:creationId xmlns:a16="http://schemas.microsoft.com/office/drawing/2014/main" id="{9F3ACBAD-5C3D-EBAA-AE3C-37919ACFC3EE}"/>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16</xdr:col>
      <xdr:colOff>560059</xdr:colOff>
      <xdr:row>79</xdr:row>
      <xdr:rowOff>136478</xdr:rowOff>
    </xdr:from>
    <xdr:to>
      <xdr:col>19</xdr:col>
      <xdr:colOff>306456</xdr:colOff>
      <xdr:row>112</xdr:row>
      <xdr:rowOff>38100</xdr:rowOff>
    </xdr:to>
    <xdr:sp macro="" textlink="">
      <xdr:nvSpPr>
        <xdr:cNvPr id="514" name="Скругленный прямоугольник 30">
          <a:extLst>
            <a:ext uri="{FF2B5EF4-FFF2-40B4-BE49-F238E27FC236}">
              <a16:creationId xmlns:a16="http://schemas.microsoft.com/office/drawing/2014/main" id="{DC96CEF1-E956-4E40-8E62-C5C70B6FFC27}"/>
            </a:ext>
          </a:extLst>
        </xdr:cNvPr>
        <xdr:cNvSpPr/>
      </xdr:nvSpPr>
      <xdr:spPr>
        <a:xfrm>
          <a:off x="10313659" y="15185978"/>
          <a:ext cx="1575197" cy="6188122"/>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b="1"/>
            <a:t>Software security requirements management</a:t>
          </a:r>
        </a:p>
      </xdr:txBody>
    </xdr:sp>
    <xdr:clientData/>
  </xdr:twoCellAnchor>
  <xdr:twoCellAnchor>
    <xdr:from>
      <xdr:col>0</xdr:col>
      <xdr:colOff>3580</xdr:colOff>
      <xdr:row>76</xdr:row>
      <xdr:rowOff>67235</xdr:rowOff>
    </xdr:from>
    <xdr:to>
      <xdr:col>17</xdr:col>
      <xdr:colOff>504756</xdr:colOff>
      <xdr:row>81</xdr:row>
      <xdr:rowOff>133092</xdr:rowOff>
    </xdr:to>
    <xdr:sp macro="" textlink="">
      <xdr:nvSpPr>
        <xdr:cNvPr id="515" name="Заголовок 1">
          <a:extLst>
            <a:ext uri="{FF2B5EF4-FFF2-40B4-BE49-F238E27FC236}">
              <a16:creationId xmlns:a16="http://schemas.microsoft.com/office/drawing/2014/main" id="{69B77DC7-255F-4888-9587-0E47720E52AB}"/>
            </a:ext>
          </a:extLst>
        </xdr:cNvPr>
        <xdr:cNvSpPr>
          <a:spLocks noGrp="1"/>
        </xdr:cNvSpPr>
      </xdr:nvSpPr>
      <xdr:spPr>
        <a:xfrm>
          <a:off x="3580" y="14545235"/>
          <a:ext cx="10864376" cy="1018357"/>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en-US"/>
            <a:t>DEV</a:t>
          </a:r>
          <a:r>
            <a:rPr lang="en-US">
              <a:solidFill>
                <a:srgbClr val="00C3FF"/>
              </a:solidFill>
            </a:rPr>
            <a:t>SEC</a:t>
          </a:r>
          <a:r>
            <a:rPr lang="en-US"/>
            <a:t>OPS PRACTICES</a:t>
          </a:r>
          <a:r>
            <a:rPr lang="en-US" baseline="0"/>
            <a:t> IN MORE DETAILS</a:t>
          </a:r>
          <a:endParaRPr lang="ru-RU"/>
        </a:p>
      </xdr:txBody>
    </xdr:sp>
    <xdr:clientData/>
  </xdr:twoCellAnchor>
  <xdr:twoCellAnchor>
    <xdr:from>
      <xdr:col>0</xdr:col>
      <xdr:colOff>76199</xdr:colOff>
      <xdr:row>85</xdr:row>
      <xdr:rowOff>193</xdr:rowOff>
    </xdr:from>
    <xdr:to>
      <xdr:col>7</xdr:col>
      <xdr:colOff>535860</xdr:colOff>
      <xdr:row>91</xdr:row>
      <xdr:rowOff>93058</xdr:rowOff>
    </xdr:to>
    <xdr:sp macro="" textlink="">
      <xdr:nvSpPr>
        <xdr:cNvPr id="516" name="Скругленный прямоугольник 2">
          <a:extLst>
            <a:ext uri="{FF2B5EF4-FFF2-40B4-BE49-F238E27FC236}">
              <a16:creationId xmlns:a16="http://schemas.microsoft.com/office/drawing/2014/main" id="{043D39BA-77ED-4192-9113-33DBA2F9D89A}"/>
            </a:ext>
          </a:extLst>
        </xdr:cNvPr>
        <xdr:cNvSpPr/>
      </xdr:nvSpPr>
      <xdr:spPr>
        <a:xfrm>
          <a:off x="76199" y="16192693"/>
          <a:ext cx="4726861" cy="1235865"/>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100" b="1">
              <a:solidFill>
                <a:srgbClr val="001031"/>
              </a:solidFill>
              <a:latin typeface="Segoe UI" panose="020B0502040204020203" pitchFamily="34" charset="0"/>
            </a:rPr>
            <a:t>Tool-Based security defects detection and analysis</a:t>
          </a:r>
        </a:p>
      </xdr:txBody>
    </xdr:sp>
    <xdr:clientData/>
  </xdr:twoCellAnchor>
  <xdr:twoCellAnchor>
    <xdr:from>
      <xdr:col>5</xdr:col>
      <xdr:colOff>158706</xdr:colOff>
      <xdr:row>89</xdr:row>
      <xdr:rowOff>4949</xdr:rowOff>
    </xdr:from>
    <xdr:to>
      <xdr:col>7</xdr:col>
      <xdr:colOff>415708</xdr:colOff>
      <xdr:row>90</xdr:row>
      <xdr:rowOff>154452</xdr:rowOff>
    </xdr:to>
    <xdr:sp macro="" textlink="">
      <xdr:nvSpPr>
        <xdr:cNvPr id="517" name="Скругленный прямоугольник 4">
          <a:extLst>
            <a:ext uri="{FF2B5EF4-FFF2-40B4-BE49-F238E27FC236}">
              <a16:creationId xmlns:a16="http://schemas.microsoft.com/office/drawing/2014/main" id="{4F07F7D8-F0B3-4E0F-9643-E600E4D0274C}"/>
            </a:ext>
          </a:extLst>
        </xdr:cNvPr>
        <xdr:cNvSpPr/>
      </xdr:nvSpPr>
      <xdr:spPr>
        <a:xfrm>
          <a:off x="3206706" y="16959449"/>
          <a:ext cx="1476202" cy="34000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Vendor-Developed software security</a:t>
          </a:r>
          <a:endParaRPr lang="en-US" sz="1000"/>
        </a:p>
      </xdr:txBody>
    </xdr:sp>
    <xdr:clientData/>
  </xdr:twoCellAnchor>
  <xdr:twoCellAnchor>
    <xdr:from>
      <xdr:col>0</xdr:col>
      <xdr:colOff>93068</xdr:colOff>
      <xdr:row>88</xdr:row>
      <xdr:rowOff>174184</xdr:rowOff>
    </xdr:from>
    <xdr:to>
      <xdr:col>2</xdr:col>
      <xdr:colOff>359596</xdr:colOff>
      <xdr:row>90</xdr:row>
      <xdr:rowOff>144393</xdr:rowOff>
    </xdr:to>
    <xdr:sp macro="" textlink="">
      <xdr:nvSpPr>
        <xdr:cNvPr id="518" name="Скругленный прямоугольник 5">
          <a:extLst>
            <a:ext uri="{FF2B5EF4-FFF2-40B4-BE49-F238E27FC236}">
              <a16:creationId xmlns:a16="http://schemas.microsoft.com/office/drawing/2014/main" id="{7D8F4058-3B9F-42DE-8052-3AC511F8FE95}"/>
            </a:ext>
          </a:extLst>
        </xdr:cNvPr>
        <xdr:cNvSpPr/>
      </xdr:nvSpPr>
      <xdr:spPr>
        <a:xfrm>
          <a:off x="93068" y="16938184"/>
          <a:ext cx="1485728" cy="35120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Dockerfiles analysis</a:t>
          </a:r>
          <a:endParaRPr lang="en-US" sz="1000"/>
        </a:p>
      </xdr:txBody>
    </xdr:sp>
    <xdr:clientData/>
  </xdr:twoCellAnchor>
  <xdr:twoCellAnchor>
    <xdr:from>
      <xdr:col>0</xdr:col>
      <xdr:colOff>93068</xdr:colOff>
      <xdr:row>86</xdr:row>
      <xdr:rowOff>122333</xdr:rowOff>
    </xdr:from>
    <xdr:to>
      <xdr:col>2</xdr:col>
      <xdr:colOff>365683</xdr:colOff>
      <xdr:row>88</xdr:row>
      <xdr:rowOff>92543</xdr:rowOff>
    </xdr:to>
    <xdr:sp macro="" textlink="">
      <xdr:nvSpPr>
        <xdr:cNvPr id="519" name="Скругленный прямоугольник 7">
          <a:extLst>
            <a:ext uri="{FF2B5EF4-FFF2-40B4-BE49-F238E27FC236}">
              <a16:creationId xmlns:a16="http://schemas.microsoft.com/office/drawing/2014/main" id="{F950B2D7-E373-4AD0-A701-B33C2DF391A9}"/>
            </a:ext>
          </a:extLst>
        </xdr:cNvPr>
        <xdr:cNvSpPr/>
      </xdr:nvSpPr>
      <xdr:spPr>
        <a:xfrm>
          <a:off x="93068" y="16505333"/>
          <a:ext cx="1491815" cy="35121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Static application security testing</a:t>
          </a:r>
          <a:endParaRPr lang="en-US" sz="1000"/>
        </a:p>
      </xdr:txBody>
    </xdr:sp>
    <xdr:clientData/>
  </xdr:twoCellAnchor>
  <xdr:twoCellAnchor>
    <xdr:from>
      <xdr:col>2</xdr:col>
      <xdr:colOff>436844</xdr:colOff>
      <xdr:row>86</xdr:row>
      <xdr:rowOff>122333</xdr:rowOff>
    </xdr:from>
    <xdr:to>
      <xdr:col>5</xdr:col>
      <xdr:colOff>96721</xdr:colOff>
      <xdr:row>88</xdr:row>
      <xdr:rowOff>92543</xdr:rowOff>
    </xdr:to>
    <xdr:sp macro="" textlink="">
      <xdr:nvSpPr>
        <xdr:cNvPr id="520" name="Скругленный прямоугольник 8">
          <a:extLst>
            <a:ext uri="{FF2B5EF4-FFF2-40B4-BE49-F238E27FC236}">
              <a16:creationId xmlns:a16="http://schemas.microsoft.com/office/drawing/2014/main" id="{E2CFF277-5DFA-44C1-8CBD-43CB83787690}"/>
            </a:ext>
          </a:extLst>
        </xdr:cNvPr>
        <xdr:cNvSpPr/>
      </xdr:nvSpPr>
      <xdr:spPr>
        <a:xfrm>
          <a:off x="1656044" y="16505333"/>
          <a:ext cx="1488677" cy="35121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Software Composition Analysis</a:t>
          </a:r>
          <a:endParaRPr lang="en-US" sz="1000"/>
        </a:p>
      </xdr:txBody>
    </xdr:sp>
    <xdr:clientData/>
  </xdr:twoCellAnchor>
  <xdr:twoCellAnchor>
    <xdr:from>
      <xdr:col>5</xdr:col>
      <xdr:colOff>167882</xdr:colOff>
      <xdr:row>86</xdr:row>
      <xdr:rowOff>122333</xdr:rowOff>
    </xdr:from>
    <xdr:to>
      <xdr:col>7</xdr:col>
      <xdr:colOff>430971</xdr:colOff>
      <xdr:row>88</xdr:row>
      <xdr:rowOff>92543</xdr:rowOff>
    </xdr:to>
    <xdr:sp macro="" textlink="">
      <xdr:nvSpPr>
        <xdr:cNvPr id="521" name="Скругленный прямоугольник 9">
          <a:extLst>
            <a:ext uri="{FF2B5EF4-FFF2-40B4-BE49-F238E27FC236}">
              <a16:creationId xmlns:a16="http://schemas.microsoft.com/office/drawing/2014/main" id="{C103FC1A-B551-481D-96FF-E2256B2B0D5C}"/>
            </a:ext>
          </a:extLst>
        </xdr:cNvPr>
        <xdr:cNvSpPr/>
      </xdr:nvSpPr>
      <xdr:spPr>
        <a:xfrm>
          <a:off x="3215882" y="16505333"/>
          <a:ext cx="1482289" cy="35121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Image container security analysis</a:t>
          </a:r>
          <a:endParaRPr lang="en-US" sz="1000"/>
        </a:p>
      </xdr:txBody>
    </xdr:sp>
    <xdr:clientData/>
  </xdr:twoCellAnchor>
  <xdr:twoCellAnchor>
    <xdr:from>
      <xdr:col>2</xdr:col>
      <xdr:colOff>436843</xdr:colOff>
      <xdr:row>89</xdr:row>
      <xdr:rowOff>5855</xdr:rowOff>
    </xdr:from>
    <xdr:to>
      <xdr:col>5</xdr:col>
      <xdr:colOff>88728</xdr:colOff>
      <xdr:row>90</xdr:row>
      <xdr:rowOff>155358</xdr:rowOff>
    </xdr:to>
    <xdr:sp macro="" textlink="">
      <xdr:nvSpPr>
        <xdr:cNvPr id="522" name="Скругленный прямоугольник 10">
          <a:extLst>
            <a:ext uri="{FF2B5EF4-FFF2-40B4-BE49-F238E27FC236}">
              <a16:creationId xmlns:a16="http://schemas.microsoft.com/office/drawing/2014/main" id="{03D6F2E0-C986-40F6-BCAD-A80AC9A3CF43}"/>
            </a:ext>
          </a:extLst>
        </xdr:cNvPr>
        <xdr:cNvSpPr/>
      </xdr:nvSpPr>
      <xdr:spPr>
        <a:xfrm>
          <a:off x="1656043" y="16960355"/>
          <a:ext cx="1480685" cy="34000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Secrets detection</a:t>
          </a:r>
          <a:endParaRPr lang="en-US" sz="1000"/>
        </a:p>
      </xdr:txBody>
    </xdr:sp>
    <xdr:clientData/>
  </xdr:twoCellAnchor>
  <xdr:twoCellAnchor>
    <xdr:from>
      <xdr:col>7</xdr:col>
      <xdr:colOff>599193</xdr:colOff>
      <xdr:row>91</xdr:row>
      <xdr:rowOff>172142</xdr:rowOff>
    </xdr:from>
    <xdr:to>
      <xdr:col>16</xdr:col>
      <xdr:colOff>484793</xdr:colOff>
      <xdr:row>103</xdr:row>
      <xdr:rowOff>166000</xdr:rowOff>
    </xdr:to>
    <xdr:sp macro="" textlink="">
      <xdr:nvSpPr>
        <xdr:cNvPr id="523" name="Скругленный прямоугольник 11">
          <a:extLst>
            <a:ext uri="{FF2B5EF4-FFF2-40B4-BE49-F238E27FC236}">
              <a16:creationId xmlns:a16="http://schemas.microsoft.com/office/drawing/2014/main" id="{F7FFAD9E-A4FD-4BC2-B74E-07CA7E87C5EB}"/>
            </a:ext>
          </a:extLst>
        </xdr:cNvPr>
        <xdr:cNvSpPr/>
      </xdr:nvSpPr>
      <xdr:spPr>
        <a:xfrm>
          <a:off x="4866393" y="17507642"/>
          <a:ext cx="5372000" cy="2279858"/>
        </a:xfrm>
        <a:prstGeom prst="roundRect">
          <a:avLst>
            <a:gd name="adj" fmla="val 6729"/>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100" b="1">
              <a:solidFill>
                <a:srgbClr val="001031"/>
              </a:solidFill>
              <a:latin typeface="Segoe UI" panose="020B0502040204020203" pitchFamily="34" charset="0"/>
            </a:rPr>
            <a:t>Production environment applications &amp; Infrastructure security</a:t>
          </a:r>
        </a:p>
      </xdr:txBody>
    </xdr:sp>
    <xdr:clientData/>
  </xdr:twoCellAnchor>
  <xdr:twoCellAnchor>
    <xdr:from>
      <xdr:col>8</xdr:col>
      <xdr:colOff>58580</xdr:colOff>
      <xdr:row>94</xdr:row>
      <xdr:rowOff>1726</xdr:rowOff>
    </xdr:from>
    <xdr:to>
      <xdr:col>10</xdr:col>
      <xdr:colOff>506039</xdr:colOff>
      <xdr:row>96</xdr:row>
      <xdr:rowOff>107457</xdr:rowOff>
    </xdr:to>
    <xdr:sp macro="" textlink="">
      <xdr:nvSpPr>
        <xdr:cNvPr id="524" name="Скругленный прямоугольник 12">
          <a:extLst>
            <a:ext uri="{FF2B5EF4-FFF2-40B4-BE49-F238E27FC236}">
              <a16:creationId xmlns:a16="http://schemas.microsoft.com/office/drawing/2014/main" id="{B0036C05-9944-4B30-A884-FC93DB557436}"/>
            </a:ext>
          </a:extLst>
        </xdr:cNvPr>
        <xdr:cNvSpPr/>
      </xdr:nvSpPr>
      <xdr:spPr>
        <a:xfrm>
          <a:off x="4935380" y="17908726"/>
          <a:ext cx="1666659" cy="48673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Secrets management</a:t>
          </a:r>
          <a:endParaRPr lang="en-US" sz="1000"/>
        </a:p>
      </xdr:txBody>
    </xdr:sp>
    <xdr:clientData/>
  </xdr:twoCellAnchor>
  <xdr:twoCellAnchor>
    <xdr:from>
      <xdr:col>11</xdr:col>
      <xdr:colOff>16271</xdr:colOff>
      <xdr:row>93</xdr:row>
      <xdr:rowOff>174097</xdr:rowOff>
    </xdr:from>
    <xdr:to>
      <xdr:col>13</xdr:col>
      <xdr:colOff>464502</xdr:colOff>
      <xdr:row>96</xdr:row>
      <xdr:rowOff>102439</xdr:rowOff>
    </xdr:to>
    <xdr:sp macro="" textlink="">
      <xdr:nvSpPr>
        <xdr:cNvPr id="525" name="Скругленный прямоугольник 13">
          <a:extLst>
            <a:ext uri="{FF2B5EF4-FFF2-40B4-BE49-F238E27FC236}">
              <a16:creationId xmlns:a16="http://schemas.microsoft.com/office/drawing/2014/main" id="{F374CA85-AB95-4B6C-A74D-8C73E76EB083}"/>
            </a:ext>
          </a:extLst>
        </xdr:cNvPr>
        <xdr:cNvSpPr/>
      </xdr:nvSpPr>
      <xdr:spPr>
        <a:xfrm>
          <a:off x="6721871" y="17890597"/>
          <a:ext cx="1667431" cy="49984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Dynamic Application Security Testing (DAST) in PROD environment</a:t>
          </a:r>
          <a:endParaRPr lang="en-US" sz="1000"/>
        </a:p>
      </xdr:txBody>
    </xdr:sp>
    <xdr:clientData/>
  </xdr:twoCellAnchor>
  <xdr:twoCellAnchor>
    <xdr:from>
      <xdr:col>13</xdr:col>
      <xdr:colOff>590408</xdr:colOff>
      <xdr:row>94</xdr:row>
      <xdr:rowOff>1726</xdr:rowOff>
    </xdr:from>
    <xdr:to>
      <xdr:col>16</xdr:col>
      <xdr:colOff>425902</xdr:colOff>
      <xdr:row>96</xdr:row>
      <xdr:rowOff>102439</xdr:rowOff>
    </xdr:to>
    <xdr:sp macro="" textlink="">
      <xdr:nvSpPr>
        <xdr:cNvPr id="526" name="Скругленный прямоугольник 14">
          <a:extLst>
            <a:ext uri="{FF2B5EF4-FFF2-40B4-BE49-F238E27FC236}">
              <a16:creationId xmlns:a16="http://schemas.microsoft.com/office/drawing/2014/main" id="{0339EF03-509E-4140-84D3-159831987E85}"/>
            </a:ext>
          </a:extLst>
        </xdr:cNvPr>
        <xdr:cNvSpPr/>
      </xdr:nvSpPr>
      <xdr:spPr>
        <a:xfrm>
          <a:off x="8515208" y="17908726"/>
          <a:ext cx="1664294" cy="48171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Penetration testing in PROD environment</a:t>
          </a:r>
          <a:endParaRPr lang="en-US" sz="1000"/>
        </a:p>
      </xdr:txBody>
    </xdr:sp>
    <xdr:clientData/>
  </xdr:twoCellAnchor>
  <xdr:twoCellAnchor>
    <xdr:from>
      <xdr:col>8</xdr:col>
      <xdr:colOff>58580</xdr:colOff>
      <xdr:row>97</xdr:row>
      <xdr:rowOff>86120</xdr:rowOff>
    </xdr:from>
    <xdr:to>
      <xdr:col>10</xdr:col>
      <xdr:colOff>497287</xdr:colOff>
      <xdr:row>100</xdr:row>
      <xdr:rowOff>20176</xdr:rowOff>
    </xdr:to>
    <xdr:sp macro="" textlink="">
      <xdr:nvSpPr>
        <xdr:cNvPr id="527" name="Скругленный прямоугольник 15">
          <a:extLst>
            <a:ext uri="{FF2B5EF4-FFF2-40B4-BE49-F238E27FC236}">
              <a16:creationId xmlns:a16="http://schemas.microsoft.com/office/drawing/2014/main" id="{B0555431-99B4-4CB7-BD23-807EEA819AFB}"/>
            </a:ext>
          </a:extLst>
        </xdr:cNvPr>
        <xdr:cNvSpPr/>
      </xdr:nvSpPr>
      <xdr:spPr>
        <a:xfrm>
          <a:off x="4935380" y="18564620"/>
          <a:ext cx="1657907" cy="505556"/>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Management of Infrastructure Changes and Access Permissions</a:t>
          </a:r>
          <a:endParaRPr lang="en-US" sz="1000"/>
        </a:p>
      </xdr:txBody>
    </xdr:sp>
    <xdr:clientData/>
  </xdr:twoCellAnchor>
  <xdr:twoCellAnchor>
    <xdr:from>
      <xdr:col>3</xdr:col>
      <xdr:colOff>422861</xdr:colOff>
      <xdr:row>104</xdr:row>
      <xdr:rowOff>63500</xdr:rowOff>
    </xdr:from>
    <xdr:to>
      <xdr:col>10</xdr:col>
      <xdr:colOff>266700</xdr:colOff>
      <xdr:row>112</xdr:row>
      <xdr:rowOff>38100</xdr:rowOff>
    </xdr:to>
    <xdr:sp macro="" textlink="">
      <xdr:nvSpPr>
        <xdr:cNvPr id="528" name="Скругленный прямоугольник 16">
          <a:extLst>
            <a:ext uri="{FF2B5EF4-FFF2-40B4-BE49-F238E27FC236}">
              <a16:creationId xmlns:a16="http://schemas.microsoft.com/office/drawing/2014/main" id="{AE923BF2-4B40-4E88-A9E7-3E64236DDC87}"/>
            </a:ext>
          </a:extLst>
        </xdr:cNvPr>
        <xdr:cNvSpPr/>
      </xdr:nvSpPr>
      <xdr:spPr>
        <a:xfrm>
          <a:off x="2251661" y="19875500"/>
          <a:ext cx="4111039" cy="1498600"/>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b="1">
              <a:solidFill>
                <a:srgbClr val="001031"/>
              </a:solidFill>
              <a:latin typeface="Segoe UI" panose="020B0502040204020203" pitchFamily="34" charset="0"/>
            </a:rPr>
            <a:t>Security defects management</a:t>
          </a:r>
          <a:endParaRPr lang="en-US" sz="1050" b="1">
            <a:solidFill>
              <a:srgbClr val="001031"/>
            </a:solidFill>
            <a:latin typeface="Segoe UI" panose="020B0502040204020203" pitchFamily="34" charset="0"/>
          </a:endParaRPr>
        </a:p>
      </xdr:txBody>
    </xdr:sp>
    <xdr:clientData/>
  </xdr:twoCellAnchor>
  <xdr:twoCellAnchor>
    <xdr:from>
      <xdr:col>3</xdr:col>
      <xdr:colOff>511883</xdr:colOff>
      <xdr:row>105</xdr:row>
      <xdr:rowOff>152400</xdr:rowOff>
    </xdr:from>
    <xdr:to>
      <xdr:col>6</xdr:col>
      <xdr:colOff>544867</xdr:colOff>
      <xdr:row>111</xdr:row>
      <xdr:rowOff>152400</xdr:rowOff>
    </xdr:to>
    <xdr:sp macro="" textlink="">
      <xdr:nvSpPr>
        <xdr:cNvPr id="530" name="Скругленный прямоугольник 18">
          <a:extLst>
            <a:ext uri="{FF2B5EF4-FFF2-40B4-BE49-F238E27FC236}">
              <a16:creationId xmlns:a16="http://schemas.microsoft.com/office/drawing/2014/main" id="{8CAC573F-1D22-47A5-A7FC-5ECA1D2A4570}"/>
            </a:ext>
          </a:extLst>
        </xdr:cNvPr>
        <xdr:cNvSpPr/>
      </xdr:nvSpPr>
      <xdr:spPr>
        <a:xfrm>
          <a:off x="2340683" y="20154900"/>
          <a:ext cx="1861784" cy="1143000"/>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Security defects consolidation</a:t>
          </a:r>
          <a:endParaRPr lang="en-US" sz="1050">
            <a:solidFill>
              <a:srgbClr val="001031"/>
            </a:solidFill>
            <a:latin typeface="Segoe UI" panose="020B0502040204020203" pitchFamily="34" charset="0"/>
          </a:endParaRPr>
        </a:p>
      </xdr:txBody>
    </xdr:sp>
    <xdr:clientData/>
  </xdr:twoCellAnchor>
  <xdr:twoCellAnchor>
    <xdr:from>
      <xdr:col>7</xdr:col>
      <xdr:colOff>116466</xdr:colOff>
      <xdr:row>105</xdr:row>
      <xdr:rowOff>180975</xdr:rowOff>
    </xdr:from>
    <xdr:to>
      <xdr:col>10</xdr:col>
      <xdr:colOff>141829</xdr:colOff>
      <xdr:row>111</xdr:row>
      <xdr:rowOff>133350</xdr:rowOff>
    </xdr:to>
    <xdr:sp macro="" textlink="">
      <xdr:nvSpPr>
        <xdr:cNvPr id="531" name="Скругленный прямоугольник 19">
          <a:extLst>
            <a:ext uri="{FF2B5EF4-FFF2-40B4-BE49-F238E27FC236}">
              <a16:creationId xmlns:a16="http://schemas.microsoft.com/office/drawing/2014/main" id="{B0B70530-5D14-478F-B705-52975B9FFCCB}"/>
            </a:ext>
          </a:extLst>
        </xdr:cNvPr>
        <xdr:cNvSpPr/>
      </xdr:nvSpPr>
      <xdr:spPr>
        <a:xfrm>
          <a:off x="4383666" y="20183475"/>
          <a:ext cx="1854163" cy="1095375"/>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Security defects handling</a:t>
          </a:r>
          <a:endParaRPr lang="ru-RU" sz="1050">
            <a:solidFill>
              <a:srgbClr val="001031"/>
            </a:solidFill>
            <a:latin typeface="Segoe UI" panose="020B0502040204020203" pitchFamily="34" charset="0"/>
          </a:endParaRPr>
        </a:p>
      </xdr:txBody>
    </xdr:sp>
    <xdr:clientData/>
  </xdr:twoCellAnchor>
  <xdr:twoCellAnchor>
    <xdr:from>
      <xdr:col>8</xdr:col>
      <xdr:colOff>30565</xdr:colOff>
      <xdr:row>85</xdr:row>
      <xdr:rowOff>5454</xdr:rowOff>
    </xdr:from>
    <xdr:to>
      <xdr:col>16</xdr:col>
      <xdr:colOff>484793</xdr:colOff>
      <xdr:row>91</xdr:row>
      <xdr:rowOff>86435</xdr:rowOff>
    </xdr:to>
    <xdr:grpSp>
      <xdr:nvGrpSpPr>
        <xdr:cNvPr id="532" name="Группа 568">
          <a:extLst>
            <a:ext uri="{FF2B5EF4-FFF2-40B4-BE49-F238E27FC236}">
              <a16:creationId xmlns:a16="http://schemas.microsoft.com/office/drawing/2014/main" id="{4D0B1F84-FFF5-4C5F-BCB5-1519AA00B0C9}"/>
            </a:ext>
          </a:extLst>
        </xdr:cNvPr>
        <xdr:cNvGrpSpPr/>
      </xdr:nvGrpSpPr>
      <xdr:grpSpPr>
        <a:xfrm>
          <a:off x="4871506" y="16197954"/>
          <a:ext cx="5295169" cy="1223981"/>
          <a:chOff x="6156202" y="850429"/>
          <a:chExt cx="3712432" cy="1183104"/>
        </a:xfrm>
      </xdr:grpSpPr>
      <xdr:sp macro="" textlink="">
        <xdr:nvSpPr>
          <xdr:cNvPr id="533" name="Прямоугольник 22">
            <a:extLst>
              <a:ext uri="{FF2B5EF4-FFF2-40B4-BE49-F238E27FC236}">
                <a16:creationId xmlns:a16="http://schemas.microsoft.com/office/drawing/2014/main" id="{5B3B0750-C94A-6E5D-B54A-B5E7E30101D2}"/>
              </a:ext>
            </a:extLst>
          </xdr:cNvPr>
          <xdr:cNvSpPr/>
        </xdr:nvSpPr>
        <xdr:spPr>
          <a:xfrm>
            <a:off x="6156202" y="850429"/>
            <a:ext cx="3712432" cy="1183104"/>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100" b="1"/>
              <a:t>Development environment security</a:t>
            </a:r>
          </a:p>
        </xdr:txBody>
      </xdr:sp>
      <xdr:grpSp>
        <xdr:nvGrpSpPr>
          <xdr:cNvPr id="534" name="Группа 599">
            <a:extLst>
              <a:ext uri="{FF2B5EF4-FFF2-40B4-BE49-F238E27FC236}">
                <a16:creationId xmlns:a16="http://schemas.microsoft.com/office/drawing/2014/main" id="{B8E50DDA-85A8-5EC2-7FE4-9B3332E042B9}"/>
              </a:ext>
            </a:extLst>
          </xdr:cNvPr>
          <xdr:cNvGrpSpPr/>
        </xdr:nvGrpSpPr>
        <xdr:grpSpPr>
          <a:xfrm>
            <a:off x="6217657" y="1139691"/>
            <a:ext cx="3592054" cy="786152"/>
            <a:chOff x="6251215" y="1139691"/>
            <a:chExt cx="3419506" cy="786152"/>
          </a:xfrm>
        </xdr:grpSpPr>
        <xdr:sp macro="" textlink="">
          <xdr:nvSpPr>
            <xdr:cNvPr id="535" name="Прямоугольник 24">
              <a:extLst>
                <a:ext uri="{FF2B5EF4-FFF2-40B4-BE49-F238E27FC236}">
                  <a16:creationId xmlns:a16="http://schemas.microsoft.com/office/drawing/2014/main" id="{73B24063-AC47-F792-D1F9-84CA8803D856}"/>
                </a:ext>
              </a:extLst>
            </xdr:cNvPr>
            <xdr:cNvSpPr/>
          </xdr:nvSpPr>
          <xdr:spPr>
            <a:xfrm>
              <a:off x="7417568" y="1592051"/>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Secrets management in DEV/TEST environments</a:t>
              </a:r>
              <a:endParaRPr lang="en-US" sz="1000"/>
            </a:p>
          </xdr:txBody>
        </xdr:sp>
        <xdr:sp macro="" textlink="">
          <xdr:nvSpPr>
            <xdr:cNvPr id="536" name="Прямоугольник 25">
              <a:extLst>
                <a:ext uri="{FF2B5EF4-FFF2-40B4-BE49-F238E27FC236}">
                  <a16:creationId xmlns:a16="http://schemas.microsoft.com/office/drawing/2014/main" id="{CEE006BF-9DE6-E7C4-C16C-9433F409083A}"/>
                </a:ext>
              </a:extLst>
            </xdr:cNvPr>
            <xdr:cNvSpPr/>
          </xdr:nvSpPr>
          <xdr:spPr>
            <a:xfrm>
              <a:off x="6251215" y="1575101"/>
              <a:ext cx="1088385" cy="3337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Developers workstations security</a:t>
              </a:r>
              <a:endParaRPr lang="en-US" sz="1000"/>
            </a:p>
          </xdr:txBody>
        </xdr:sp>
        <xdr:sp macro="" textlink="">
          <xdr:nvSpPr>
            <xdr:cNvPr id="537" name="Прямоугольник 24">
              <a:extLst>
                <a:ext uri="{FF2B5EF4-FFF2-40B4-BE49-F238E27FC236}">
                  <a16:creationId xmlns:a16="http://schemas.microsoft.com/office/drawing/2014/main" id="{80FA80B8-A6B5-DDD0-07BC-D86A8C5403E1}"/>
                </a:ext>
              </a:extLst>
            </xdr:cNvPr>
            <xdr:cNvSpPr/>
          </xdr:nvSpPr>
          <xdr:spPr>
            <a:xfrm>
              <a:off x="8576630" y="1586689"/>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Build-environment security</a:t>
              </a:r>
              <a:endParaRPr lang="en-US" sz="1000"/>
            </a:p>
          </xdr:txBody>
        </xdr:sp>
        <xdr:sp macro="" textlink="">
          <xdr:nvSpPr>
            <xdr:cNvPr id="538" name="Прямоугольник 24">
              <a:extLst>
                <a:ext uri="{FF2B5EF4-FFF2-40B4-BE49-F238E27FC236}">
                  <a16:creationId xmlns:a16="http://schemas.microsoft.com/office/drawing/2014/main" id="{BCC001A2-AAAA-FD53-2110-7401B916F40A}"/>
                </a:ext>
              </a:extLst>
            </xdr:cNvPr>
            <xdr:cNvSpPr/>
          </xdr:nvSpPr>
          <xdr:spPr>
            <a:xfrm>
              <a:off x="7417568" y="1160005"/>
              <a:ext cx="1088385" cy="3337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fr-FR" sz="1000"/>
                <a:t>Source code management</a:t>
              </a:r>
              <a:r>
                <a:rPr lang="ru-RU" sz="1000"/>
                <a:t> </a:t>
              </a:r>
              <a:r>
                <a:rPr lang="en-AU" sz="1000"/>
                <a:t>system</a:t>
              </a:r>
              <a:r>
                <a:rPr lang="fr-FR" sz="1000"/>
                <a:t> (SCM) security</a:t>
              </a:r>
              <a:endParaRPr lang="en-US" sz="1000"/>
            </a:p>
          </xdr:txBody>
        </xdr:sp>
        <xdr:sp macro="" textlink="">
          <xdr:nvSpPr>
            <xdr:cNvPr id="539" name="Прямоугольник 24">
              <a:extLst>
                <a:ext uri="{FF2B5EF4-FFF2-40B4-BE49-F238E27FC236}">
                  <a16:creationId xmlns:a16="http://schemas.microsoft.com/office/drawing/2014/main" id="{276D186C-B662-20AE-AD4F-52E0F1FA2B02}"/>
                </a:ext>
              </a:extLst>
            </xdr:cNvPr>
            <xdr:cNvSpPr/>
          </xdr:nvSpPr>
          <xdr:spPr>
            <a:xfrm>
              <a:off x="6252801" y="1139691"/>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Source code change management and control</a:t>
              </a:r>
              <a:endParaRPr lang="en-US" sz="1000"/>
            </a:p>
          </xdr:txBody>
        </xdr:sp>
        <xdr:sp macro="" textlink="">
          <xdr:nvSpPr>
            <xdr:cNvPr id="540" name="Прямоугольник 24">
              <a:extLst>
                <a:ext uri="{FF2B5EF4-FFF2-40B4-BE49-F238E27FC236}">
                  <a16:creationId xmlns:a16="http://schemas.microsoft.com/office/drawing/2014/main" id="{62D9602D-82AB-D88F-9B06-4C1C86D7FEEA}"/>
                </a:ext>
              </a:extLst>
            </xdr:cNvPr>
            <xdr:cNvSpPr/>
          </xdr:nvSpPr>
          <xdr:spPr>
            <a:xfrm>
              <a:off x="8582336" y="1169534"/>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Build pipeline security</a:t>
              </a:r>
              <a:endParaRPr lang="en-US" sz="1000"/>
            </a:p>
          </xdr:txBody>
        </xdr:sp>
      </xdr:grpSp>
    </xdr:grpSp>
    <xdr:clientData/>
  </xdr:twoCellAnchor>
  <xdr:twoCellAnchor>
    <xdr:from>
      <xdr:col>0</xdr:col>
      <xdr:colOff>47625</xdr:colOff>
      <xdr:row>79</xdr:row>
      <xdr:rowOff>115303</xdr:rowOff>
    </xdr:from>
    <xdr:to>
      <xdr:col>7</xdr:col>
      <xdr:colOff>541421</xdr:colOff>
      <xdr:row>84</xdr:row>
      <xdr:rowOff>95207</xdr:rowOff>
    </xdr:to>
    <xdr:sp macro="" textlink="">
      <xdr:nvSpPr>
        <xdr:cNvPr id="541" name="Скругленный прямоугольник 26">
          <a:extLst>
            <a:ext uri="{FF2B5EF4-FFF2-40B4-BE49-F238E27FC236}">
              <a16:creationId xmlns:a16="http://schemas.microsoft.com/office/drawing/2014/main" id="{F39C64E6-F7C4-4594-88F5-066E0C64A8B4}"/>
            </a:ext>
          </a:extLst>
        </xdr:cNvPr>
        <xdr:cNvSpPr/>
      </xdr:nvSpPr>
      <xdr:spPr>
        <a:xfrm>
          <a:off x="47625" y="15164803"/>
          <a:ext cx="4760996" cy="932404"/>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100" b="1"/>
            <a:t>Security management and control of artifacts, dependencies, and images</a:t>
          </a:r>
        </a:p>
      </xdr:txBody>
    </xdr:sp>
    <xdr:clientData/>
  </xdr:twoCellAnchor>
  <xdr:twoCellAnchor>
    <xdr:from>
      <xdr:col>0</xdr:col>
      <xdr:colOff>86696</xdr:colOff>
      <xdr:row>82</xdr:row>
      <xdr:rowOff>20753</xdr:rowOff>
    </xdr:from>
    <xdr:to>
      <xdr:col>7</xdr:col>
      <xdr:colOff>417614</xdr:colOff>
      <xdr:row>83</xdr:row>
      <xdr:rowOff>172849</xdr:rowOff>
    </xdr:to>
    <xdr:grpSp>
      <xdr:nvGrpSpPr>
        <xdr:cNvPr id="542" name="Группа 570">
          <a:extLst>
            <a:ext uri="{FF2B5EF4-FFF2-40B4-BE49-F238E27FC236}">
              <a16:creationId xmlns:a16="http://schemas.microsoft.com/office/drawing/2014/main" id="{7AB926FF-213C-4480-8E9F-C00CCC2EB63C}"/>
            </a:ext>
          </a:extLst>
        </xdr:cNvPr>
        <xdr:cNvGrpSpPr/>
      </xdr:nvGrpSpPr>
      <xdr:grpSpPr>
        <a:xfrm>
          <a:off x="86696" y="15641753"/>
          <a:ext cx="4566742" cy="342596"/>
          <a:chOff x="691001" y="1467902"/>
          <a:chExt cx="4767883" cy="334493"/>
        </a:xfrm>
      </xdr:grpSpPr>
      <xdr:sp macro="" textlink="">
        <xdr:nvSpPr>
          <xdr:cNvPr id="543" name="Прямоугольник 28">
            <a:extLst>
              <a:ext uri="{FF2B5EF4-FFF2-40B4-BE49-F238E27FC236}">
                <a16:creationId xmlns:a16="http://schemas.microsoft.com/office/drawing/2014/main" id="{5144FE63-634B-6363-084A-AC2BF088EAB0}"/>
              </a:ext>
            </a:extLst>
          </xdr:cNvPr>
          <xdr:cNvSpPr/>
        </xdr:nvSpPr>
        <xdr:spPr>
          <a:xfrm>
            <a:off x="691001" y="1468603"/>
            <a:ext cx="2213047"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Management and control of external component usage</a:t>
            </a:r>
            <a:endParaRPr lang="en-US" sz="1000"/>
          </a:p>
        </xdr:txBody>
      </xdr:sp>
      <xdr:sp macro="" textlink="">
        <xdr:nvSpPr>
          <xdr:cNvPr id="544" name="Прямоугольник 29">
            <a:extLst>
              <a:ext uri="{FF2B5EF4-FFF2-40B4-BE49-F238E27FC236}">
                <a16:creationId xmlns:a16="http://schemas.microsoft.com/office/drawing/2014/main" id="{D444AA6B-A265-E081-0B4F-109EB0A1451C}"/>
              </a:ext>
            </a:extLst>
          </xdr:cNvPr>
          <xdr:cNvSpPr/>
        </xdr:nvSpPr>
        <xdr:spPr>
          <a:xfrm>
            <a:off x="3245837" y="1467902"/>
            <a:ext cx="2213047"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Management and control of application development artifacts</a:t>
            </a:r>
            <a:endParaRPr lang="ru-RU" sz="1000"/>
          </a:p>
        </xdr:txBody>
      </xdr:sp>
    </xdr:grpSp>
    <xdr:clientData/>
  </xdr:twoCellAnchor>
  <xdr:twoCellAnchor>
    <xdr:from>
      <xdr:col>8</xdr:col>
      <xdr:colOff>58581</xdr:colOff>
      <xdr:row>79</xdr:row>
      <xdr:rowOff>130342</xdr:rowOff>
    </xdr:from>
    <xdr:to>
      <xdr:col>16</xdr:col>
      <xdr:colOff>476251</xdr:colOff>
      <xdr:row>84</xdr:row>
      <xdr:rowOff>97089</xdr:rowOff>
    </xdr:to>
    <xdr:sp macro="" textlink="">
      <xdr:nvSpPr>
        <xdr:cNvPr id="545" name="Скругленный прямоугольник 30">
          <a:extLst>
            <a:ext uri="{FF2B5EF4-FFF2-40B4-BE49-F238E27FC236}">
              <a16:creationId xmlns:a16="http://schemas.microsoft.com/office/drawing/2014/main" id="{9AE22D63-02A1-4EF0-805C-D4AF98803732}"/>
            </a:ext>
          </a:extLst>
        </xdr:cNvPr>
        <xdr:cNvSpPr/>
      </xdr:nvSpPr>
      <xdr:spPr>
        <a:xfrm>
          <a:off x="4935381" y="15179842"/>
          <a:ext cx="5294470" cy="919247"/>
        </a:xfrm>
        <a:prstGeom prst="roundRect">
          <a:avLst>
            <a:gd name="adj" fmla="val 14038"/>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b="1"/>
            <a:t>Training and knowledge management</a:t>
          </a:r>
        </a:p>
      </xdr:txBody>
    </xdr:sp>
    <xdr:clientData/>
  </xdr:twoCellAnchor>
  <xdr:twoCellAnchor>
    <xdr:from>
      <xdr:col>0</xdr:col>
      <xdr:colOff>95250</xdr:colOff>
      <xdr:row>104</xdr:row>
      <xdr:rowOff>80079</xdr:rowOff>
    </xdr:from>
    <xdr:to>
      <xdr:col>3</xdr:col>
      <xdr:colOff>257175</xdr:colOff>
      <xdr:row>112</xdr:row>
      <xdr:rowOff>47624</xdr:rowOff>
    </xdr:to>
    <xdr:sp macro="" textlink="">
      <xdr:nvSpPr>
        <xdr:cNvPr id="546" name="Скругленный прямоугольник 31">
          <a:extLst>
            <a:ext uri="{FF2B5EF4-FFF2-40B4-BE49-F238E27FC236}">
              <a16:creationId xmlns:a16="http://schemas.microsoft.com/office/drawing/2014/main" id="{E480CEB6-D7FD-4B02-A7F1-35B74C285015}"/>
            </a:ext>
          </a:extLst>
        </xdr:cNvPr>
        <xdr:cNvSpPr/>
      </xdr:nvSpPr>
      <xdr:spPr>
        <a:xfrm>
          <a:off x="95250" y="19892079"/>
          <a:ext cx="1990725" cy="1491545"/>
        </a:xfrm>
        <a:prstGeom prst="roundRect">
          <a:avLst>
            <a:gd name="adj" fmla="val 108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b="1">
              <a:solidFill>
                <a:srgbClr val="001031"/>
              </a:solidFill>
              <a:latin typeface="Segoe UI" panose="020B0502040204020203" pitchFamily="34" charset="0"/>
            </a:rPr>
            <a:t>Functional</a:t>
          </a:r>
          <a:r>
            <a:rPr lang="en-AU" sz="1050" b="1" baseline="0">
              <a:solidFill>
                <a:srgbClr val="001031"/>
              </a:solidFill>
              <a:latin typeface="Segoe UI" panose="020B0502040204020203" pitchFamily="34" charset="0"/>
            </a:rPr>
            <a:t> roles</a:t>
          </a:r>
          <a:endParaRPr lang="en-US" sz="1050" b="1">
            <a:solidFill>
              <a:srgbClr val="001031"/>
            </a:solidFill>
            <a:latin typeface="Segoe UI" panose="020B0502040204020203" pitchFamily="34" charset="0"/>
          </a:endParaRPr>
        </a:p>
      </xdr:txBody>
    </xdr:sp>
    <xdr:clientData/>
  </xdr:twoCellAnchor>
  <xdr:twoCellAnchor>
    <xdr:from>
      <xdr:col>8</xdr:col>
      <xdr:colOff>124403</xdr:colOff>
      <xdr:row>81</xdr:row>
      <xdr:rowOff>98535</xdr:rowOff>
    </xdr:from>
    <xdr:to>
      <xdr:col>11</xdr:col>
      <xdr:colOff>499240</xdr:colOff>
      <xdr:row>83</xdr:row>
      <xdr:rowOff>122237</xdr:rowOff>
    </xdr:to>
    <xdr:sp macro="" textlink="">
      <xdr:nvSpPr>
        <xdr:cNvPr id="547" name="Скругленный прямоугольник 32">
          <a:extLst>
            <a:ext uri="{FF2B5EF4-FFF2-40B4-BE49-F238E27FC236}">
              <a16:creationId xmlns:a16="http://schemas.microsoft.com/office/drawing/2014/main" id="{06AF8F7E-FA8B-45DF-8E3A-ADD74BB92DD7}"/>
            </a:ext>
          </a:extLst>
        </xdr:cNvPr>
        <xdr:cNvSpPr/>
      </xdr:nvSpPr>
      <xdr:spPr>
        <a:xfrm>
          <a:off x="5001203" y="15529035"/>
          <a:ext cx="2203637" cy="404702"/>
        </a:xfrm>
        <a:prstGeom prst="roundRect">
          <a:avLst>
            <a:gd name="adj" fmla="val 207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t>DevSecOps secure coding training</a:t>
          </a:r>
          <a:endParaRPr lang="en-US" sz="1050"/>
        </a:p>
      </xdr:txBody>
    </xdr:sp>
    <xdr:clientData/>
  </xdr:twoCellAnchor>
  <xdr:twoCellAnchor>
    <xdr:from>
      <xdr:col>0</xdr:col>
      <xdr:colOff>196224</xdr:colOff>
      <xdr:row>105</xdr:row>
      <xdr:rowOff>124684</xdr:rowOff>
    </xdr:from>
    <xdr:to>
      <xdr:col>3</xdr:col>
      <xdr:colOff>93457</xdr:colOff>
      <xdr:row>108</xdr:row>
      <xdr:rowOff>49216</xdr:rowOff>
    </xdr:to>
    <xdr:sp macro="" textlink="">
      <xdr:nvSpPr>
        <xdr:cNvPr id="548" name="Скругленный прямоугольник 33">
          <a:extLst>
            <a:ext uri="{FF2B5EF4-FFF2-40B4-BE49-F238E27FC236}">
              <a16:creationId xmlns:a16="http://schemas.microsoft.com/office/drawing/2014/main" id="{035B16E0-8C24-4450-AC3E-F1A71EB59CEA}"/>
            </a:ext>
          </a:extLst>
        </xdr:cNvPr>
        <xdr:cNvSpPr/>
      </xdr:nvSpPr>
      <xdr:spPr>
        <a:xfrm>
          <a:off x="196224" y="20127184"/>
          <a:ext cx="1726033" cy="496032"/>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050">
              <a:solidFill>
                <a:srgbClr val="001031"/>
              </a:solidFill>
              <a:latin typeface="Segoe UI" panose="020B0502040204020203" pitchFamily="34" charset="0"/>
            </a:rPr>
            <a:t>Security Champions</a:t>
          </a:r>
        </a:p>
      </xdr:txBody>
    </xdr:sp>
    <xdr:clientData/>
  </xdr:twoCellAnchor>
  <xdr:twoCellAnchor>
    <xdr:from>
      <xdr:col>13</xdr:col>
      <xdr:colOff>132001</xdr:colOff>
      <xdr:row>81</xdr:row>
      <xdr:rowOff>91966</xdr:rowOff>
    </xdr:from>
    <xdr:to>
      <xdr:col>16</xdr:col>
      <xdr:colOff>420412</xdr:colOff>
      <xdr:row>83</xdr:row>
      <xdr:rowOff>136989</xdr:rowOff>
    </xdr:to>
    <xdr:sp macro="" textlink="">
      <xdr:nvSpPr>
        <xdr:cNvPr id="549" name="Скругленный прямоугольник 34">
          <a:extLst>
            <a:ext uri="{FF2B5EF4-FFF2-40B4-BE49-F238E27FC236}">
              <a16:creationId xmlns:a16="http://schemas.microsoft.com/office/drawing/2014/main" id="{17E6DB35-8694-4D8A-A1C6-75F8CE203E98}"/>
            </a:ext>
          </a:extLst>
        </xdr:cNvPr>
        <xdr:cNvSpPr/>
      </xdr:nvSpPr>
      <xdr:spPr>
        <a:xfrm>
          <a:off x="8056801" y="15522466"/>
          <a:ext cx="2117211" cy="426023"/>
        </a:xfrm>
        <a:prstGeom prst="roundRect">
          <a:avLst>
            <a:gd name="adj" fmla="val 1803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t>DevSecOps knowledge base management</a:t>
          </a:r>
          <a:endParaRPr lang="en-US" sz="1050"/>
        </a:p>
      </xdr:txBody>
    </xdr:sp>
    <xdr:clientData/>
  </xdr:twoCellAnchor>
  <xdr:twoCellAnchor>
    <xdr:from>
      <xdr:col>0</xdr:col>
      <xdr:colOff>180974</xdr:colOff>
      <xdr:row>108</xdr:row>
      <xdr:rowOff>187764</xdr:rowOff>
    </xdr:from>
    <xdr:to>
      <xdr:col>3</xdr:col>
      <xdr:colOff>104775</xdr:colOff>
      <xdr:row>111</xdr:row>
      <xdr:rowOff>119917</xdr:rowOff>
    </xdr:to>
    <xdr:sp macro="" textlink="">
      <xdr:nvSpPr>
        <xdr:cNvPr id="550" name="Скругленный прямоугольник 35">
          <a:extLst>
            <a:ext uri="{FF2B5EF4-FFF2-40B4-BE49-F238E27FC236}">
              <a16:creationId xmlns:a16="http://schemas.microsoft.com/office/drawing/2014/main" id="{7214A012-081E-45E6-A584-7CE0527593CC}"/>
            </a:ext>
          </a:extLst>
        </xdr:cNvPr>
        <xdr:cNvSpPr/>
      </xdr:nvSpPr>
      <xdr:spPr>
        <a:xfrm>
          <a:off x="180974" y="20761764"/>
          <a:ext cx="1752601" cy="503653"/>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t>DSO process roles and responsibilities</a:t>
          </a:r>
          <a:endParaRPr lang="en-US" sz="1050">
            <a:solidFill>
              <a:srgbClr val="001031"/>
            </a:solidFill>
          </a:endParaRPr>
        </a:p>
      </xdr:txBody>
    </xdr:sp>
    <xdr:clientData/>
  </xdr:twoCellAnchor>
  <xdr:twoCellAnchor>
    <xdr:from>
      <xdr:col>11</xdr:col>
      <xdr:colOff>1808</xdr:colOff>
      <xdr:row>97</xdr:row>
      <xdr:rowOff>89889</xdr:rowOff>
    </xdr:from>
    <xdr:to>
      <xdr:col>13</xdr:col>
      <xdr:colOff>440514</xdr:colOff>
      <xdr:row>100</xdr:row>
      <xdr:rowOff>20176</xdr:rowOff>
    </xdr:to>
    <xdr:sp macro="" textlink="">
      <xdr:nvSpPr>
        <xdr:cNvPr id="586" name="Скругленный прямоугольник 47">
          <a:extLst>
            <a:ext uri="{FF2B5EF4-FFF2-40B4-BE49-F238E27FC236}">
              <a16:creationId xmlns:a16="http://schemas.microsoft.com/office/drawing/2014/main" id="{DC8F5E13-72D0-44A8-80D9-268EF53C9819}"/>
            </a:ext>
          </a:extLst>
        </xdr:cNvPr>
        <xdr:cNvSpPr/>
      </xdr:nvSpPr>
      <xdr:spPr>
        <a:xfrm>
          <a:off x="6707408" y="18568389"/>
          <a:ext cx="1657906" cy="501787"/>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Security events monitoring and management</a:t>
          </a:r>
          <a:endParaRPr lang="en-US" sz="1000"/>
        </a:p>
      </xdr:txBody>
    </xdr:sp>
    <xdr:clientData/>
  </xdr:twoCellAnchor>
  <xdr:twoCellAnchor>
    <xdr:from>
      <xdr:col>13</xdr:col>
      <xdr:colOff>590408</xdr:colOff>
      <xdr:row>97</xdr:row>
      <xdr:rowOff>87287</xdr:rowOff>
    </xdr:from>
    <xdr:to>
      <xdr:col>16</xdr:col>
      <xdr:colOff>425901</xdr:colOff>
      <xdr:row>100</xdr:row>
      <xdr:rowOff>17574</xdr:rowOff>
    </xdr:to>
    <xdr:sp macro="" textlink="">
      <xdr:nvSpPr>
        <xdr:cNvPr id="614" name="Скругленный прямоугольник 48">
          <a:extLst>
            <a:ext uri="{FF2B5EF4-FFF2-40B4-BE49-F238E27FC236}">
              <a16:creationId xmlns:a16="http://schemas.microsoft.com/office/drawing/2014/main" id="{F959D9CF-60F8-43F7-A107-AFB19EF096E4}"/>
            </a:ext>
          </a:extLst>
        </xdr:cNvPr>
        <xdr:cNvSpPr/>
      </xdr:nvSpPr>
      <xdr:spPr>
        <a:xfrm>
          <a:off x="8515208" y="18565787"/>
          <a:ext cx="1664293" cy="501787"/>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Vulnerability management (PROD Infrastructure)</a:t>
          </a:r>
          <a:endParaRPr lang="en-US" sz="1000"/>
        </a:p>
      </xdr:txBody>
    </xdr:sp>
    <xdr:clientData/>
  </xdr:twoCellAnchor>
  <xdr:twoCellAnchor>
    <xdr:from>
      <xdr:col>8</xdr:col>
      <xdr:colOff>58581</xdr:colOff>
      <xdr:row>100</xdr:row>
      <xdr:rowOff>178133</xdr:rowOff>
    </xdr:from>
    <xdr:to>
      <xdr:col>10</xdr:col>
      <xdr:colOff>497287</xdr:colOff>
      <xdr:row>103</xdr:row>
      <xdr:rowOff>33563</xdr:rowOff>
    </xdr:to>
    <xdr:sp macro="" textlink="">
      <xdr:nvSpPr>
        <xdr:cNvPr id="615" name="Скругленный прямоугольник 49">
          <a:extLst>
            <a:ext uri="{FF2B5EF4-FFF2-40B4-BE49-F238E27FC236}">
              <a16:creationId xmlns:a16="http://schemas.microsoft.com/office/drawing/2014/main" id="{D8D6D7B5-BB89-4E58-9715-1A73DD1DE07F}"/>
            </a:ext>
          </a:extLst>
        </xdr:cNvPr>
        <xdr:cNvSpPr/>
      </xdr:nvSpPr>
      <xdr:spPr>
        <a:xfrm>
          <a:off x="4935381" y="19228133"/>
          <a:ext cx="1657906" cy="42693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Runtime</a:t>
          </a:r>
          <a:r>
            <a:rPr lang="ru-RU" sz="1000"/>
            <a:t> </a:t>
          </a:r>
          <a:r>
            <a:rPr lang="en-AU" sz="1000"/>
            <a:t>environment monitoring and control</a:t>
          </a:r>
          <a:endParaRPr lang="en-US" sz="1000"/>
        </a:p>
      </xdr:txBody>
    </xdr:sp>
    <xdr:clientData/>
  </xdr:twoCellAnchor>
  <xdr:twoCellAnchor>
    <xdr:from>
      <xdr:col>13</xdr:col>
      <xdr:colOff>603799</xdr:colOff>
      <xdr:row>100</xdr:row>
      <xdr:rowOff>178133</xdr:rowOff>
    </xdr:from>
    <xdr:to>
      <xdr:col>16</xdr:col>
      <xdr:colOff>439118</xdr:colOff>
      <xdr:row>103</xdr:row>
      <xdr:rowOff>33563</xdr:rowOff>
    </xdr:to>
    <xdr:sp macro="" textlink="">
      <xdr:nvSpPr>
        <xdr:cNvPr id="616" name="Скругленный прямоугольник 50">
          <a:extLst>
            <a:ext uri="{FF2B5EF4-FFF2-40B4-BE49-F238E27FC236}">
              <a16:creationId xmlns:a16="http://schemas.microsoft.com/office/drawing/2014/main" id="{8EE3A293-3469-43B1-BC65-2EFC66EAB3D4}"/>
            </a:ext>
          </a:extLst>
        </xdr:cNvPr>
        <xdr:cNvSpPr/>
      </xdr:nvSpPr>
      <xdr:spPr>
        <a:xfrm>
          <a:off x="8528599" y="19228133"/>
          <a:ext cx="1664119" cy="42693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Network traffic monitoring and control (L4–L7)</a:t>
          </a:r>
          <a:endParaRPr lang="en-US" sz="1000"/>
        </a:p>
      </xdr:txBody>
    </xdr:sp>
    <xdr:clientData/>
  </xdr:twoCellAnchor>
  <xdr:twoCellAnchor>
    <xdr:from>
      <xdr:col>14</xdr:col>
      <xdr:colOff>68958</xdr:colOff>
      <xdr:row>104</xdr:row>
      <xdr:rowOff>80080</xdr:rowOff>
    </xdr:from>
    <xdr:to>
      <xdr:col>16</xdr:col>
      <xdr:colOff>478837</xdr:colOff>
      <xdr:row>111</xdr:row>
      <xdr:rowOff>180975</xdr:rowOff>
    </xdr:to>
    <xdr:sp macro="" textlink="">
      <xdr:nvSpPr>
        <xdr:cNvPr id="617" name="Скругленный прямоугольник 51">
          <a:extLst>
            <a:ext uri="{FF2B5EF4-FFF2-40B4-BE49-F238E27FC236}">
              <a16:creationId xmlns:a16="http://schemas.microsoft.com/office/drawing/2014/main" id="{1CB8E9A0-8C31-42AC-BF83-5AFE4B04C772}"/>
            </a:ext>
          </a:extLst>
        </xdr:cNvPr>
        <xdr:cNvSpPr/>
      </xdr:nvSpPr>
      <xdr:spPr>
        <a:xfrm>
          <a:off x="8603358" y="19892080"/>
          <a:ext cx="1629079" cy="1434395"/>
        </a:xfrm>
        <a:prstGeom prst="roundRect">
          <a:avLst>
            <a:gd name="adj" fmla="val 10870"/>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b="1">
              <a:solidFill>
                <a:srgbClr val="001031"/>
              </a:solidFill>
              <a:latin typeface="Segoe UI" panose="020B0502040204020203" pitchFamily="34" charset="0"/>
            </a:rPr>
            <a:t>Related Processes</a:t>
          </a:r>
          <a:endParaRPr lang="en-US" sz="1000" b="1">
            <a:solidFill>
              <a:srgbClr val="001031"/>
            </a:solidFill>
            <a:latin typeface="Segoe UI" panose="020B0502040204020203" pitchFamily="34" charset="0"/>
          </a:endParaRPr>
        </a:p>
      </xdr:txBody>
    </xdr:sp>
    <xdr:clientData/>
  </xdr:twoCellAnchor>
  <xdr:twoCellAnchor>
    <xdr:from>
      <xdr:col>14</xdr:col>
      <xdr:colOff>170405</xdr:colOff>
      <xdr:row>106</xdr:row>
      <xdr:rowOff>121685</xdr:rowOff>
    </xdr:from>
    <xdr:to>
      <xdr:col>16</xdr:col>
      <xdr:colOff>369773</xdr:colOff>
      <xdr:row>109</xdr:row>
      <xdr:rowOff>49216</xdr:rowOff>
    </xdr:to>
    <xdr:sp macro="" textlink="">
      <xdr:nvSpPr>
        <xdr:cNvPr id="618" name="Скругленный прямоугольник 52">
          <a:extLst>
            <a:ext uri="{FF2B5EF4-FFF2-40B4-BE49-F238E27FC236}">
              <a16:creationId xmlns:a16="http://schemas.microsoft.com/office/drawing/2014/main" id="{A571C1A3-F5C5-4CAF-BE71-BC26F40EFB1E}"/>
            </a:ext>
          </a:extLst>
        </xdr:cNvPr>
        <xdr:cNvSpPr/>
      </xdr:nvSpPr>
      <xdr:spPr>
        <a:xfrm>
          <a:off x="8704805" y="20314685"/>
          <a:ext cx="1418568" cy="499031"/>
        </a:xfrm>
        <a:prstGeom prst="roundRect">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t>Security incidents management </a:t>
          </a:r>
          <a:r>
            <a:rPr lang="ru-RU" sz="1050"/>
            <a:t>…</a:t>
          </a:r>
        </a:p>
      </xdr:txBody>
    </xdr:sp>
    <xdr:clientData/>
  </xdr:twoCellAnchor>
  <xdr:twoCellAnchor>
    <xdr:from>
      <xdr:col>17</xdr:col>
      <xdr:colOff>31195</xdr:colOff>
      <xdr:row>105</xdr:row>
      <xdr:rowOff>24549</xdr:rowOff>
    </xdr:from>
    <xdr:to>
      <xdr:col>19</xdr:col>
      <xdr:colOff>149086</xdr:colOff>
      <xdr:row>110</xdr:row>
      <xdr:rowOff>39411</xdr:rowOff>
    </xdr:to>
    <xdr:sp macro="" textlink="">
      <xdr:nvSpPr>
        <xdr:cNvPr id="619" name="Прямоугольник 54">
          <a:extLst>
            <a:ext uri="{FF2B5EF4-FFF2-40B4-BE49-F238E27FC236}">
              <a16:creationId xmlns:a16="http://schemas.microsoft.com/office/drawing/2014/main" id="{D973A914-3823-4883-A386-9399AE42D675}"/>
            </a:ext>
          </a:extLst>
        </xdr:cNvPr>
        <xdr:cNvSpPr/>
      </xdr:nvSpPr>
      <xdr:spPr>
        <a:xfrm>
          <a:off x="10394395" y="20027049"/>
          <a:ext cx="1337091" cy="967362"/>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Software criticality assessment and threat modeling</a:t>
          </a:r>
          <a:endParaRPr lang="en-US" sz="1050">
            <a:solidFill>
              <a:srgbClr val="001031"/>
            </a:solidFill>
            <a:latin typeface="Segoe UI" panose="020B0502040204020203" pitchFamily="34" charset="0"/>
          </a:endParaRPr>
        </a:p>
      </xdr:txBody>
    </xdr:sp>
    <xdr:clientData/>
  </xdr:twoCellAnchor>
  <xdr:twoCellAnchor>
    <xdr:from>
      <xdr:col>17</xdr:col>
      <xdr:colOff>34310</xdr:colOff>
      <xdr:row>95</xdr:row>
      <xdr:rowOff>15910</xdr:rowOff>
    </xdr:from>
    <xdr:to>
      <xdr:col>19</xdr:col>
      <xdr:colOff>140804</xdr:colOff>
      <xdr:row>98</xdr:row>
      <xdr:rowOff>168088</xdr:rowOff>
    </xdr:to>
    <xdr:sp macro="" textlink="">
      <xdr:nvSpPr>
        <xdr:cNvPr id="620" name="Прямоугольник 55">
          <a:extLst>
            <a:ext uri="{FF2B5EF4-FFF2-40B4-BE49-F238E27FC236}">
              <a16:creationId xmlns:a16="http://schemas.microsoft.com/office/drawing/2014/main" id="{C1E04C77-4410-412B-AB7A-6C4C31462A5D}"/>
            </a:ext>
          </a:extLst>
        </xdr:cNvPr>
        <xdr:cNvSpPr/>
      </xdr:nvSpPr>
      <xdr:spPr>
        <a:xfrm>
          <a:off x="10397510" y="18113410"/>
          <a:ext cx="1325694" cy="723678"/>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Defining security requirements for applications under development</a:t>
          </a:r>
          <a:endParaRPr lang="en-US" sz="1050">
            <a:solidFill>
              <a:srgbClr val="001031"/>
            </a:solidFill>
            <a:latin typeface="Segoe UI" panose="020B0502040204020203" pitchFamily="34" charset="0"/>
          </a:endParaRPr>
        </a:p>
      </xdr:txBody>
    </xdr:sp>
    <xdr:clientData/>
  </xdr:twoCellAnchor>
  <xdr:twoCellAnchor>
    <xdr:from>
      <xdr:col>0</xdr:col>
      <xdr:colOff>85725</xdr:colOff>
      <xdr:row>91</xdr:row>
      <xdr:rowOff>160907</xdr:rowOff>
    </xdr:from>
    <xdr:to>
      <xdr:col>7</xdr:col>
      <xdr:colOff>516028</xdr:colOff>
      <xdr:row>103</xdr:row>
      <xdr:rowOff>164289</xdr:rowOff>
    </xdr:to>
    <xdr:sp macro="" textlink="">
      <xdr:nvSpPr>
        <xdr:cNvPr id="621" name="Скругленный прямоугольник 2">
          <a:extLst>
            <a:ext uri="{FF2B5EF4-FFF2-40B4-BE49-F238E27FC236}">
              <a16:creationId xmlns:a16="http://schemas.microsoft.com/office/drawing/2014/main" id="{C601B0A1-07E9-4E15-839F-D4EE6CAF2066}"/>
            </a:ext>
          </a:extLst>
        </xdr:cNvPr>
        <xdr:cNvSpPr/>
      </xdr:nvSpPr>
      <xdr:spPr>
        <a:xfrm>
          <a:off x="85725" y="17496407"/>
          <a:ext cx="4697503" cy="2289382"/>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100" b="1">
              <a:solidFill>
                <a:srgbClr val="001031"/>
              </a:solidFill>
              <a:latin typeface="Segoe UI" panose="020B0502040204020203" pitchFamily="34" charset="0"/>
            </a:rPr>
            <a:t>Runtime application analysis (Pre-Prod environment)</a:t>
          </a:r>
        </a:p>
      </xdr:txBody>
    </xdr:sp>
    <xdr:clientData/>
  </xdr:twoCellAnchor>
  <xdr:twoCellAnchor>
    <xdr:from>
      <xdr:col>0</xdr:col>
      <xdr:colOff>139260</xdr:colOff>
      <xdr:row>93</xdr:row>
      <xdr:rowOff>159472</xdr:rowOff>
    </xdr:from>
    <xdr:to>
      <xdr:col>3</xdr:col>
      <xdr:colOff>478899</xdr:colOff>
      <xdr:row>96</xdr:row>
      <xdr:rowOff>68401</xdr:rowOff>
    </xdr:to>
    <xdr:sp macro="" textlink="">
      <xdr:nvSpPr>
        <xdr:cNvPr id="622" name="Скругленный прямоугольник 9">
          <a:extLst>
            <a:ext uri="{FF2B5EF4-FFF2-40B4-BE49-F238E27FC236}">
              <a16:creationId xmlns:a16="http://schemas.microsoft.com/office/drawing/2014/main" id="{B4D4835B-BFB7-407B-96E4-D791F6C69BFB}"/>
            </a:ext>
          </a:extLst>
        </xdr:cNvPr>
        <xdr:cNvSpPr/>
      </xdr:nvSpPr>
      <xdr:spPr>
        <a:xfrm>
          <a:off x="139260" y="17875972"/>
          <a:ext cx="2168439" cy="48042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Dynamic Application Security testing (DAST) in PREPROD environment</a:t>
          </a:r>
          <a:endParaRPr lang="en-US" sz="1000"/>
        </a:p>
      </xdr:txBody>
    </xdr:sp>
    <xdr:clientData/>
  </xdr:twoCellAnchor>
  <xdr:twoCellAnchor>
    <xdr:from>
      <xdr:col>1</xdr:col>
      <xdr:colOff>134384</xdr:colOff>
      <xdr:row>100</xdr:row>
      <xdr:rowOff>55897</xdr:rowOff>
    </xdr:from>
    <xdr:to>
      <xdr:col>6</xdr:col>
      <xdr:colOff>190383</xdr:colOff>
      <xdr:row>103</xdr:row>
      <xdr:rowOff>53636</xdr:rowOff>
    </xdr:to>
    <xdr:sp macro="" textlink="">
      <xdr:nvSpPr>
        <xdr:cNvPr id="623" name="Скругленный прямоугольник 9">
          <a:extLst>
            <a:ext uri="{FF2B5EF4-FFF2-40B4-BE49-F238E27FC236}">
              <a16:creationId xmlns:a16="http://schemas.microsoft.com/office/drawing/2014/main" id="{B68EC98F-1FB2-41F6-BB3A-05FC56B871F7}"/>
            </a:ext>
          </a:extLst>
        </xdr:cNvPr>
        <xdr:cNvSpPr/>
      </xdr:nvSpPr>
      <xdr:spPr>
        <a:xfrm>
          <a:off x="743984" y="19105897"/>
          <a:ext cx="3103999" cy="56923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Pre-Release software penetration testing</a:t>
          </a:r>
          <a:endParaRPr lang="en-US" sz="1000"/>
        </a:p>
      </xdr:txBody>
    </xdr:sp>
    <xdr:clientData/>
  </xdr:twoCellAnchor>
  <xdr:twoCellAnchor>
    <xdr:from>
      <xdr:col>0</xdr:col>
      <xdr:colOff>170920</xdr:colOff>
      <xdr:row>97</xdr:row>
      <xdr:rowOff>155974</xdr:rowOff>
    </xdr:from>
    <xdr:to>
      <xdr:col>3</xdr:col>
      <xdr:colOff>512464</xdr:colOff>
      <xdr:row>99</xdr:row>
      <xdr:rowOff>126183</xdr:rowOff>
    </xdr:to>
    <xdr:sp macro="" textlink="">
      <xdr:nvSpPr>
        <xdr:cNvPr id="624" name="Скругленный прямоугольник 9">
          <a:extLst>
            <a:ext uri="{FF2B5EF4-FFF2-40B4-BE49-F238E27FC236}">
              <a16:creationId xmlns:a16="http://schemas.microsoft.com/office/drawing/2014/main" id="{B5ED1906-328F-4170-B5F0-56D794B0C671}"/>
            </a:ext>
          </a:extLst>
        </xdr:cNvPr>
        <xdr:cNvSpPr/>
      </xdr:nvSpPr>
      <xdr:spPr>
        <a:xfrm>
          <a:off x="170920" y="18634474"/>
          <a:ext cx="2170344" cy="35120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Functional security testing</a:t>
          </a:r>
          <a:endParaRPr lang="en-US" sz="1000"/>
        </a:p>
      </xdr:txBody>
    </xdr:sp>
    <xdr:clientData/>
  </xdr:twoCellAnchor>
  <xdr:twoCellAnchor>
    <xdr:from>
      <xdr:col>4</xdr:col>
      <xdr:colOff>95116</xdr:colOff>
      <xdr:row>97</xdr:row>
      <xdr:rowOff>162095</xdr:rowOff>
    </xdr:from>
    <xdr:to>
      <xdr:col>7</xdr:col>
      <xdr:colOff>430971</xdr:colOff>
      <xdr:row>99</xdr:row>
      <xdr:rowOff>122779</xdr:rowOff>
    </xdr:to>
    <xdr:sp macro="" textlink="">
      <xdr:nvSpPr>
        <xdr:cNvPr id="625" name="Скругленный прямоугольник 9">
          <a:extLst>
            <a:ext uri="{FF2B5EF4-FFF2-40B4-BE49-F238E27FC236}">
              <a16:creationId xmlns:a16="http://schemas.microsoft.com/office/drawing/2014/main" id="{25A51936-8911-4EC6-884F-EA874C0F6733}"/>
            </a:ext>
          </a:extLst>
        </xdr:cNvPr>
        <xdr:cNvSpPr/>
      </xdr:nvSpPr>
      <xdr:spPr>
        <a:xfrm>
          <a:off x="2533516" y="18640595"/>
          <a:ext cx="2164655" cy="341684"/>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Manifests security management</a:t>
          </a:r>
        </a:p>
        <a:p>
          <a:pPr algn="ctr"/>
          <a:r>
            <a:rPr lang="ru-RU" sz="1000"/>
            <a:t>(k8s, terraform </a:t>
          </a:r>
          <a:r>
            <a:rPr lang="en-US" sz="1000"/>
            <a:t>etc</a:t>
          </a:r>
          <a:r>
            <a:rPr lang="ru-RU" sz="1000"/>
            <a:t>)</a:t>
          </a:r>
          <a:endParaRPr lang="en-US" sz="1000"/>
        </a:p>
      </xdr:txBody>
    </xdr:sp>
    <xdr:clientData/>
  </xdr:twoCellAnchor>
  <xdr:twoCellAnchor>
    <xdr:from>
      <xdr:col>4</xdr:col>
      <xdr:colOff>95117</xdr:colOff>
      <xdr:row>93</xdr:row>
      <xdr:rowOff>159280</xdr:rowOff>
    </xdr:from>
    <xdr:to>
      <xdr:col>7</xdr:col>
      <xdr:colOff>436662</xdr:colOff>
      <xdr:row>96</xdr:row>
      <xdr:rowOff>68401</xdr:rowOff>
    </xdr:to>
    <xdr:sp macro="" textlink="">
      <xdr:nvSpPr>
        <xdr:cNvPr id="626" name="Скругленный прямоугольник 9">
          <a:extLst>
            <a:ext uri="{FF2B5EF4-FFF2-40B4-BE49-F238E27FC236}">
              <a16:creationId xmlns:a16="http://schemas.microsoft.com/office/drawing/2014/main" id="{8832AC29-A766-4108-861B-32578415E2AA}"/>
            </a:ext>
          </a:extLst>
        </xdr:cNvPr>
        <xdr:cNvSpPr/>
      </xdr:nvSpPr>
      <xdr:spPr>
        <a:xfrm>
          <a:off x="2533517" y="17875780"/>
          <a:ext cx="2170345" cy="48062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00"/>
            <a:t>Vulnerability management (PREPROD Infrastructure)</a:t>
          </a:r>
          <a:endParaRPr lang="en-US" sz="1000"/>
        </a:p>
      </xdr:txBody>
    </xdr:sp>
    <xdr:clientData/>
  </xdr:twoCellAnchor>
  <xdr:twoCellAnchor>
    <xdr:from>
      <xdr:col>17</xdr:col>
      <xdr:colOff>31195</xdr:colOff>
      <xdr:row>85</xdr:row>
      <xdr:rowOff>49239</xdr:rowOff>
    </xdr:from>
    <xdr:to>
      <xdr:col>19</xdr:col>
      <xdr:colOff>149086</xdr:colOff>
      <xdr:row>88</xdr:row>
      <xdr:rowOff>89780</xdr:rowOff>
    </xdr:to>
    <xdr:sp macro="" textlink="">
      <xdr:nvSpPr>
        <xdr:cNvPr id="627" name="Прямоугольник 54">
          <a:extLst>
            <a:ext uri="{FF2B5EF4-FFF2-40B4-BE49-F238E27FC236}">
              <a16:creationId xmlns:a16="http://schemas.microsoft.com/office/drawing/2014/main" id="{AC726183-C625-4121-BE2A-824A7FF6BCA6}"/>
            </a:ext>
          </a:extLst>
        </xdr:cNvPr>
        <xdr:cNvSpPr/>
      </xdr:nvSpPr>
      <xdr:spPr>
        <a:xfrm>
          <a:off x="10394395" y="16241739"/>
          <a:ext cx="1337091" cy="612041"/>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Verification of compliance with security requirements</a:t>
          </a:r>
          <a:endParaRPr lang="en-US" sz="1050">
            <a:solidFill>
              <a:srgbClr val="001031"/>
            </a:solidFill>
            <a:latin typeface="Segoe UI" panose="020B0502040204020203" pitchFamily="34" charset="0"/>
          </a:endParaRPr>
        </a:p>
      </xdr:txBody>
    </xdr:sp>
    <xdr:clientData/>
  </xdr:twoCellAnchor>
  <xdr:twoCellAnchor>
    <xdr:from>
      <xdr:col>17</xdr:col>
      <xdr:colOff>34310</xdr:colOff>
      <xdr:row>99</xdr:row>
      <xdr:rowOff>78442</xdr:rowOff>
    </xdr:from>
    <xdr:to>
      <xdr:col>19</xdr:col>
      <xdr:colOff>132522</xdr:colOff>
      <xdr:row>104</xdr:row>
      <xdr:rowOff>92234</xdr:rowOff>
    </xdr:to>
    <xdr:sp macro="" textlink="">
      <xdr:nvSpPr>
        <xdr:cNvPr id="628" name="Прямоугольник 55">
          <a:extLst>
            <a:ext uri="{FF2B5EF4-FFF2-40B4-BE49-F238E27FC236}">
              <a16:creationId xmlns:a16="http://schemas.microsoft.com/office/drawing/2014/main" id="{B50F57DC-28BD-4382-9C7F-D96896B8571B}"/>
            </a:ext>
          </a:extLst>
        </xdr:cNvPr>
        <xdr:cNvSpPr/>
      </xdr:nvSpPr>
      <xdr:spPr>
        <a:xfrm>
          <a:off x="10397510" y="18937942"/>
          <a:ext cx="1317412" cy="966292"/>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Software security configuration standards</a:t>
          </a:r>
          <a:endParaRPr lang="en-US" sz="1050">
            <a:solidFill>
              <a:srgbClr val="001031"/>
            </a:solidFill>
            <a:latin typeface="Segoe UI" panose="020B0502040204020203" pitchFamily="34" charset="0"/>
          </a:endParaRPr>
        </a:p>
      </xdr:txBody>
    </xdr:sp>
    <xdr:clientData/>
  </xdr:twoCellAnchor>
  <xdr:twoCellAnchor>
    <xdr:from>
      <xdr:col>17</xdr:col>
      <xdr:colOff>12167</xdr:colOff>
      <xdr:row>89</xdr:row>
      <xdr:rowOff>5913</xdr:rowOff>
    </xdr:from>
    <xdr:to>
      <xdr:col>19</xdr:col>
      <xdr:colOff>149087</xdr:colOff>
      <xdr:row>94</xdr:row>
      <xdr:rowOff>77962</xdr:rowOff>
    </xdr:to>
    <xdr:sp macro="" textlink="">
      <xdr:nvSpPr>
        <xdr:cNvPr id="629" name="Прямоугольник 54">
          <a:extLst>
            <a:ext uri="{FF2B5EF4-FFF2-40B4-BE49-F238E27FC236}">
              <a16:creationId xmlns:a16="http://schemas.microsoft.com/office/drawing/2014/main" id="{4F0EFD96-2484-451A-993A-0F30393523E3}"/>
            </a:ext>
          </a:extLst>
        </xdr:cNvPr>
        <xdr:cNvSpPr/>
      </xdr:nvSpPr>
      <xdr:spPr>
        <a:xfrm>
          <a:off x="10375367" y="16960413"/>
          <a:ext cx="1356120" cy="1024549"/>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a:solidFill>
                <a:srgbClr val="001031"/>
              </a:solidFill>
              <a:latin typeface="Segoe UI" panose="020B0502040204020203" pitchFamily="34" charset="0"/>
            </a:rPr>
            <a:t>Infrastructure components security configuration management</a:t>
          </a:r>
          <a:endParaRPr lang="en-US" sz="1050">
            <a:solidFill>
              <a:srgbClr val="001031"/>
            </a:solidFill>
            <a:latin typeface="Segoe UI" panose="020B0502040204020203" pitchFamily="34" charset="0"/>
          </a:endParaRPr>
        </a:p>
      </xdr:txBody>
    </xdr:sp>
    <xdr:clientData/>
  </xdr:twoCellAnchor>
  <xdr:twoCellAnchor>
    <xdr:from>
      <xdr:col>4</xdr:col>
      <xdr:colOff>590101</xdr:colOff>
      <xdr:row>113</xdr:row>
      <xdr:rowOff>88415</xdr:rowOff>
    </xdr:from>
    <xdr:to>
      <xdr:col>5</xdr:col>
      <xdr:colOff>569608</xdr:colOff>
      <xdr:row>114</xdr:row>
      <xdr:rowOff>160144</xdr:rowOff>
    </xdr:to>
    <xdr:sp macro="" textlink="">
      <xdr:nvSpPr>
        <xdr:cNvPr id="631" name="Скругленный прямоугольник 12">
          <a:extLst>
            <a:ext uri="{FF2B5EF4-FFF2-40B4-BE49-F238E27FC236}">
              <a16:creationId xmlns:a16="http://schemas.microsoft.com/office/drawing/2014/main" id="{7F900C39-CF3B-41FD-AF0E-CF9A04FC0B01}"/>
            </a:ext>
          </a:extLst>
        </xdr:cNvPr>
        <xdr:cNvSpPr/>
      </xdr:nvSpPr>
      <xdr:spPr bwMode="auto">
        <a:xfrm>
          <a:off x="3028501" y="21614915"/>
          <a:ext cx="589107" cy="262229"/>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6</xdr:col>
      <xdr:colOff>44499</xdr:colOff>
      <xdr:row>113</xdr:row>
      <xdr:rowOff>88415</xdr:rowOff>
    </xdr:from>
    <xdr:to>
      <xdr:col>8</xdr:col>
      <xdr:colOff>148787</xdr:colOff>
      <xdr:row>114</xdr:row>
      <xdr:rowOff>160144</xdr:rowOff>
    </xdr:to>
    <xdr:sp macro="" textlink="">
      <xdr:nvSpPr>
        <xdr:cNvPr id="632" name="TextBox 13">
          <a:extLst>
            <a:ext uri="{FF2B5EF4-FFF2-40B4-BE49-F238E27FC236}">
              <a16:creationId xmlns:a16="http://schemas.microsoft.com/office/drawing/2014/main" id="{31E0E49C-98FE-4913-B491-5D9E178093A5}"/>
            </a:ext>
          </a:extLst>
        </xdr:cNvPr>
        <xdr:cNvSpPr txBox="1"/>
      </xdr:nvSpPr>
      <xdr:spPr>
        <a:xfrm>
          <a:off x="3702099" y="21614915"/>
          <a:ext cx="1323488" cy="262229"/>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AU" sz="1400" kern="1200">
              <a:solidFill>
                <a:srgbClr val="001031"/>
              </a:solidFill>
              <a:effectLst/>
              <a:latin typeface="Segoe UI" panose="020B0502040204020203" pitchFamily="34" charset="0"/>
              <a:ea typeface="+mn-ea"/>
              <a:cs typeface="+mn-cs"/>
            </a:rPr>
            <a:t>Technology-driven practices</a:t>
          </a:r>
          <a:endParaRPr lang="en-AU" sz="1400">
            <a:effectLst/>
          </a:endParaRPr>
        </a:p>
      </xdr:txBody>
    </xdr:sp>
    <xdr:clientData/>
  </xdr:twoCellAnchor>
  <xdr:twoCellAnchor>
    <xdr:from>
      <xdr:col>8</xdr:col>
      <xdr:colOff>335920</xdr:colOff>
      <xdr:row>113</xdr:row>
      <xdr:rowOff>59840</xdr:rowOff>
    </xdr:from>
    <xdr:to>
      <xdr:col>9</xdr:col>
      <xdr:colOff>321141</xdr:colOff>
      <xdr:row>114</xdr:row>
      <xdr:rowOff>131569</xdr:rowOff>
    </xdr:to>
    <xdr:sp macro="" textlink="">
      <xdr:nvSpPr>
        <xdr:cNvPr id="633" name="Скругленный прямоугольник 14">
          <a:extLst>
            <a:ext uri="{FF2B5EF4-FFF2-40B4-BE49-F238E27FC236}">
              <a16:creationId xmlns:a16="http://schemas.microsoft.com/office/drawing/2014/main" id="{7CE66380-ED04-46F4-9B80-267508064A36}"/>
            </a:ext>
          </a:extLst>
        </xdr:cNvPr>
        <xdr:cNvSpPr/>
      </xdr:nvSpPr>
      <xdr:spPr bwMode="auto">
        <a:xfrm>
          <a:off x="5212720" y="21586340"/>
          <a:ext cx="594821" cy="262229"/>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9</xdr:col>
      <xdr:colOff>483065</xdr:colOff>
      <xdr:row>113</xdr:row>
      <xdr:rowOff>50315</xdr:rowOff>
    </xdr:from>
    <xdr:to>
      <xdr:col>12</xdr:col>
      <xdr:colOff>153720</xdr:colOff>
      <xdr:row>114</xdr:row>
      <xdr:rowOff>122044</xdr:rowOff>
    </xdr:to>
    <xdr:sp macro="" textlink="">
      <xdr:nvSpPr>
        <xdr:cNvPr id="634" name="TextBox 15">
          <a:extLst>
            <a:ext uri="{FF2B5EF4-FFF2-40B4-BE49-F238E27FC236}">
              <a16:creationId xmlns:a16="http://schemas.microsoft.com/office/drawing/2014/main" id="{F903747B-4AAF-47E7-85F8-B2C8E94C6FA9}"/>
            </a:ext>
          </a:extLst>
        </xdr:cNvPr>
        <xdr:cNvSpPr txBox="1"/>
      </xdr:nvSpPr>
      <xdr:spPr>
        <a:xfrm>
          <a:off x="5969465" y="21576815"/>
          <a:ext cx="1499455" cy="262229"/>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AU" sz="1400" kern="1200">
              <a:solidFill>
                <a:srgbClr val="001031"/>
              </a:solidFill>
              <a:effectLst/>
              <a:latin typeface="Segoe UI" panose="020B0502040204020203" pitchFamily="34" charset="0"/>
              <a:ea typeface="+mn-ea"/>
              <a:cs typeface="+mn-cs"/>
            </a:rPr>
            <a:t>Process-oriented practices</a:t>
          </a:r>
          <a:endParaRPr lang="en-AU" sz="1400">
            <a:effectLst/>
          </a:endParaRPr>
        </a:p>
      </xdr:txBody>
    </xdr:sp>
    <xdr:clientData/>
  </xdr:twoCellAnchor>
  <xdr:twoCellAnchor>
    <xdr:from>
      <xdr:col>8</xdr:col>
      <xdr:colOff>314740</xdr:colOff>
      <xdr:row>60</xdr:row>
      <xdr:rowOff>24848</xdr:rowOff>
    </xdr:from>
    <xdr:to>
      <xdr:col>12</xdr:col>
      <xdr:colOff>190154</xdr:colOff>
      <xdr:row>66</xdr:row>
      <xdr:rowOff>85716</xdr:rowOff>
    </xdr:to>
    <xdr:sp macro="" textlink="">
      <xdr:nvSpPr>
        <xdr:cNvPr id="635" name="Скругленный прямоугольник 16">
          <a:extLst>
            <a:ext uri="{FF2B5EF4-FFF2-40B4-BE49-F238E27FC236}">
              <a16:creationId xmlns:a16="http://schemas.microsoft.com/office/drawing/2014/main" id="{67580DE3-DD68-4808-82B9-D031DAB43288}"/>
            </a:ext>
          </a:extLst>
        </xdr:cNvPr>
        <xdr:cNvSpPr/>
      </xdr:nvSpPr>
      <xdr:spPr>
        <a:xfrm>
          <a:off x="5191540" y="11454848"/>
          <a:ext cx="2313814" cy="1203868"/>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400" b="1" cap="all"/>
            <a:t>DSO process effectiveness management</a:t>
          </a:r>
        </a:p>
      </xdr:txBody>
    </xdr:sp>
    <xdr:clientData/>
  </xdr:twoCellAnchor>
  <xdr:twoCellAnchor>
    <xdr:from>
      <xdr:col>10</xdr:col>
      <xdr:colOff>419100</xdr:colOff>
      <xdr:row>104</xdr:row>
      <xdr:rowOff>76200</xdr:rowOff>
    </xdr:from>
    <xdr:to>
      <xdr:col>13</xdr:col>
      <xdr:colOff>581025</xdr:colOff>
      <xdr:row>112</xdr:row>
      <xdr:rowOff>43745</xdr:rowOff>
    </xdr:to>
    <xdr:sp macro="" textlink="">
      <xdr:nvSpPr>
        <xdr:cNvPr id="636" name="Скругленный прямоугольник 31">
          <a:extLst>
            <a:ext uri="{FF2B5EF4-FFF2-40B4-BE49-F238E27FC236}">
              <a16:creationId xmlns:a16="http://schemas.microsoft.com/office/drawing/2014/main" id="{55DCEEC1-F97C-4F3A-B5CB-A52AC89B43EB}"/>
            </a:ext>
          </a:extLst>
        </xdr:cNvPr>
        <xdr:cNvSpPr/>
      </xdr:nvSpPr>
      <xdr:spPr>
        <a:xfrm>
          <a:off x="6515100" y="19888200"/>
          <a:ext cx="1990725" cy="1491545"/>
        </a:xfrm>
        <a:prstGeom prst="roundRect">
          <a:avLst>
            <a:gd name="adj" fmla="val 108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AU" sz="1050" b="1">
              <a:solidFill>
                <a:srgbClr val="001031"/>
              </a:solidFill>
              <a:latin typeface="Segoe UI" panose="020B0502040204020203" pitchFamily="34" charset="0"/>
            </a:rPr>
            <a:t>DSO process effectiveness management</a:t>
          </a:r>
          <a:endParaRPr lang="en-US" sz="1050" b="1">
            <a:solidFill>
              <a:srgbClr val="001031"/>
            </a:solidFill>
            <a:latin typeface="Segoe UI" panose="020B0502040204020203" pitchFamily="34" charset="0"/>
          </a:endParaRPr>
        </a:p>
      </xdr:txBody>
    </xdr:sp>
    <xdr:clientData/>
  </xdr:twoCellAnchor>
  <xdr:twoCellAnchor>
    <xdr:from>
      <xdr:col>10</xdr:col>
      <xdr:colOff>542925</xdr:colOff>
      <xdr:row>107</xdr:row>
      <xdr:rowOff>19050</xdr:rowOff>
    </xdr:from>
    <xdr:to>
      <xdr:col>13</xdr:col>
      <xdr:colOff>476250</xdr:colOff>
      <xdr:row>109</xdr:row>
      <xdr:rowOff>28575</xdr:rowOff>
    </xdr:to>
    <xdr:sp macro="" textlink="">
      <xdr:nvSpPr>
        <xdr:cNvPr id="637" name="Скругленный прямоугольник 33">
          <a:extLst>
            <a:ext uri="{FF2B5EF4-FFF2-40B4-BE49-F238E27FC236}">
              <a16:creationId xmlns:a16="http://schemas.microsoft.com/office/drawing/2014/main" id="{8A42146A-FFC1-4BEA-AB13-675ADF079D37}"/>
            </a:ext>
          </a:extLst>
        </xdr:cNvPr>
        <xdr:cNvSpPr/>
      </xdr:nvSpPr>
      <xdr:spPr>
        <a:xfrm>
          <a:off x="6638925" y="20402550"/>
          <a:ext cx="1762125" cy="390525"/>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050">
              <a:solidFill>
                <a:srgbClr val="001031"/>
              </a:solidFill>
              <a:latin typeface="Segoe UI" panose="020B0502040204020203" pitchFamily="34" charset="0"/>
            </a:rPr>
            <a:t>Security metrics management</a:t>
          </a:r>
        </a:p>
      </xdr:txBody>
    </xdr:sp>
    <xdr:clientData/>
  </xdr:twoCellAnchor>
  <xdr:twoCellAnchor>
    <xdr:from>
      <xdr:col>10</xdr:col>
      <xdr:colOff>552450</xdr:colOff>
      <xdr:row>109</xdr:row>
      <xdr:rowOff>133350</xdr:rowOff>
    </xdr:from>
    <xdr:to>
      <xdr:col>13</xdr:col>
      <xdr:colOff>485775</xdr:colOff>
      <xdr:row>111</xdr:row>
      <xdr:rowOff>142875</xdr:rowOff>
    </xdr:to>
    <xdr:sp macro="" textlink="">
      <xdr:nvSpPr>
        <xdr:cNvPr id="638" name="Скругленный прямоугольник 33">
          <a:extLst>
            <a:ext uri="{FF2B5EF4-FFF2-40B4-BE49-F238E27FC236}">
              <a16:creationId xmlns:a16="http://schemas.microsoft.com/office/drawing/2014/main" id="{A722F033-075A-4086-BB7D-16D7E8628886}"/>
            </a:ext>
          </a:extLst>
        </xdr:cNvPr>
        <xdr:cNvSpPr/>
      </xdr:nvSpPr>
      <xdr:spPr>
        <a:xfrm>
          <a:off x="6648450" y="20897850"/>
          <a:ext cx="1762125" cy="390525"/>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050">
              <a:solidFill>
                <a:srgbClr val="001031"/>
              </a:solidFill>
              <a:latin typeface="Segoe UI" panose="020B0502040204020203" pitchFamily="34" charset="0"/>
            </a:rPr>
            <a:t>Security metrics compliance control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xdr:colOff>
      <xdr:row>11</xdr:row>
      <xdr:rowOff>1905</xdr:rowOff>
    </xdr:from>
    <xdr:to>
      <xdr:col>20</xdr:col>
      <xdr:colOff>0</xdr:colOff>
      <xdr:row>38</xdr:row>
      <xdr:rowOff>258536</xdr:rowOff>
    </xdr:to>
    <xdr:graphicFrame macro="">
      <xdr:nvGraphicFramePr>
        <xdr:cNvPr id="2" name="Диаграмма 4">
          <a:extLst>
            <a:ext uri="{FF2B5EF4-FFF2-40B4-BE49-F238E27FC236}">
              <a16:creationId xmlns:a16="http://schemas.microsoft.com/office/drawing/2014/main" id="{61751814-D114-48EE-A6E7-F751A73C7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293918</xdr:colOff>
      <xdr:row>10</xdr:row>
      <xdr:rowOff>264127</xdr:rowOff>
    </xdr:from>
    <xdr:to>
      <xdr:col>24</xdr:col>
      <xdr:colOff>612321</xdr:colOff>
      <xdr:row>39</xdr:row>
      <xdr:rowOff>13607</xdr:rowOff>
    </xdr:to>
    <xdr:graphicFrame macro="">
      <xdr:nvGraphicFramePr>
        <xdr:cNvPr id="3" name="Диаграмма 4">
          <a:extLst>
            <a:ext uri="{FF2B5EF4-FFF2-40B4-BE49-F238E27FC236}">
              <a16:creationId xmlns:a16="http://schemas.microsoft.com/office/drawing/2014/main" id="{5814E6F9-EA61-4BE9-94AD-55D28639C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123132</xdr:colOff>
      <xdr:row>0</xdr:row>
      <xdr:rowOff>87731</xdr:rowOff>
    </xdr:from>
    <xdr:to>
      <xdr:col>5</xdr:col>
      <xdr:colOff>1904</xdr:colOff>
      <xdr:row>0</xdr:row>
      <xdr:rowOff>605891</xdr:rowOff>
    </xdr:to>
    <xdr:pic>
      <xdr:nvPicPr>
        <xdr:cNvPr id="4" name="Рисунок 3">
          <a:extLst>
            <a:ext uri="{FF2B5EF4-FFF2-40B4-BE49-F238E27FC236}">
              <a16:creationId xmlns:a16="http://schemas.microsoft.com/office/drawing/2014/main" id="{3A8306EB-13FB-333B-32E4-8DA4DBABD1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10418" y="87731"/>
          <a:ext cx="3286001" cy="5181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29808</xdr:colOff>
      <xdr:row>0</xdr:row>
      <xdr:rowOff>97042</xdr:rowOff>
    </xdr:from>
    <xdr:to>
      <xdr:col>3</xdr:col>
      <xdr:colOff>283209</xdr:colOff>
      <xdr:row>0</xdr:row>
      <xdr:rowOff>613297</xdr:rowOff>
    </xdr:to>
    <xdr:pic>
      <xdr:nvPicPr>
        <xdr:cNvPr id="4" name="Рисунок 3">
          <a:extLst>
            <a:ext uri="{FF2B5EF4-FFF2-40B4-BE49-F238E27FC236}">
              <a16:creationId xmlns:a16="http://schemas.microsoft.com/office/drawing/2014/main" id="{3900FC8D-2853-49F0-82AD-6403ED6124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4279" y="97042"/>
          <a:ext cx="3282191" cy="5162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67235</xdr:rowOff>
    </xdr:from>
    <xdr:to>
      <xdr:col>3</xdr:col>
      <xdr:colOff>54785</xdr:colOff>
      <xdr:row>0</xdr:row>
      <xdr:rowOff>593015</xdr:rowOff>
    </xdr:to>
    <xdr:pic>
      <xdr:nvPicPr>
        <xdr:cNvPr id="2" name="Рисунок 1">
          <a:extLst>
            <a:ext uri="{FF2B5EF4-FFF2-40B4-BE49-F238E27FC236}">
              <a16:creationId xmlns:a16="http://schemas.microsoft.com/office/drawing/2014/main" id="{C2DFEED7-FB7C-4381-8CDD-6CB93D8FBA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67235"/>
          <a:ext cx="3289699" cy="520065"/>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ithub.com/Jet-Security-Team/DevSecOps-Assessment-Framework-ENG"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Jet-Security-Team/DevSecOps-Assessment-Framework-ENG" TargetMode="External"/><Relationship Id="rId1" Type="http://schemas.openxmlformats.org/officeDocument/2006/relationships/hyperlink" Target="https://github.com/Jet-Security-Team/DevSecOps-Assessment-Framework-E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
  <sheetViews>
    <sheetView zoomScale="85" zoomScaleNormal="85" workbookViewId="0">
      <selection activeCell="X32" sqref="X32"/>
    </sheetView>
  </sheetViews>
  <sheetFormatPr defaultRowHeight="15" x14ac:dyDescent="0.25"/>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8">
    <tabColor rgb="FF92D050"/>
  </sheetPr>
  <dimension ref="B1:Z42"/>
  <sheetViews>
    <sheetView topLeftCell="C1" zoomScale="55" zoomScaleNormal="55" workbookViewId="0">
      <pane xSplit="5" ySplit="2" topLeftCell="H3" activePane="bottomRight" state="frozen"/>
      <selection pane="topRight" activeCell="E1" sqref="E1"/>
      <selection pane="bottomLeft" activeCell="C3" sqref="C3"/>
      <selection pane="bottomRight" activeCell="E41" sqref="E41:E42"/>
    </sheetView>
  </sheetViews>
  <sheetFormatPr defaultColWidth="9" defaultRowHeight="17.25" x14ac:dyDescent="0.3"/>
  <cols>
    <col min="1" max="1" width="9" style="7"/>
    <col min="2" max="2" width="12" style="1" customWidth="1"/>
    <col min="3" max="3" width="2.5703125" style="2" customWidth="1"/>
    <col min="4" max="4" width="16" style="2" customWidth="1"/>
    <col min="5" max="5" width="34.28515625" style="3" customWidth="1"/>
    <col min="6" max="6" width="73.7109375" style="4" customWidth="1"/>
    <col min="7" max="7" width="24.7109375" style="4" customWidth="1"/>
    <col min="8" max="12" width="19.5703125" style="7" hidden="1" customWidth="1"/>
    <col min="13" max="13" width="24" style="22" customWidth="1"/>
    <col min="14" max="14" width="32" style="5" customWidth="1"/>
    <col min="15" max="15" width="19.28515625" style="5" customWidth="1"/>
    <col min="16" max="16" width="4.28515625" style="6" customWidth="1"/>
    <col min="17" max="17" width="5.42578125" style="5" customWidth="1"/>
    <col min="18" max="18" width="25.7109375" style="5" customWidth="1"/>
    <col min="19" max="19" width="31" style="5" bestFit="1" customWidth="1"/>
    <col min="20" max="20" width="25.5703125" style="5" customWidth="1"/>
    <col min="21" max="21" width="4.28515625" style="2" customWidth="1"/>
    <col min="22" max="24" width="34.28515625" style="2" customWidth="1"/>
    <col min="25" max="26" width="9" style="2" customWidth="1"/>
    <col min="27" max="16384" width="9" style="7"/>
  </cols>
  <sheetData>
    <row r="1" spans="2:25" ht="53.45" customHeight="1" thickBot="1" x14ac:dyDescent="0.35">
      <c r="D1" s="166"/>
      <c r="E1" s="166"/>
      <c r="H1" s="4"/>
      <c r="I1" s="4"/>
      <c r="J1" s="4"/>
      <c r="K1" s="4"/>
      <c r="L1" s="4"/>
      <c r="M1" s="4"/>
      <c r="Q1" s="181" t="s">
        <v>2073</v>
      </c>
      <c r="R1" s="182"/>
      <c r="S1" s="182"/>
      <c r="T1" s="183"/>
    </row>
    <row r="2" spans="2:25" ht="81.75" thickBot="1" x14ac:dyDescent="0.35">
      <c r="B2" s="8" t="s">
        <v>417</v>
      </c>
      <c r="C2" s="7"/>
      <c r="D2" s="24" t="s">
        <v>2078</v>
      </c>
      <c r="E2" s="24" t="s">
        <v>1370</v>
      </c>
      <c r="F2" s="24" t="s">
        <v>1372</v>
      </c>
      <c r="G2" s="24" t="s">
        <v>2076</v>
      </c>
      <c r="H2" s="112" t="s">
        <v>418</v>
      </c>
      <c r="I2" s="112" t="s">
        <v>419</v>
      </c>
      <c r="J2" s="112" t="s">
        <v>420</v>
      </c>
      <c r="K2" s="112" t="s">
        <v>421</v>
      </c>
      <c r="L2" s="112" t="s">
        <v>422</v>
      </c>
      <c r="M2" s="113" t="s">
        <v>1435</v>
      </c>
      <c r="N2" s="113" t="s">
        <v>1434</v>
      </c>
      <c r="O2" s="112" t="s">
        <v>1374</v>
      </c>
      <c r="Q2" s="184" t="s">
        <v>1407</v>
      </c>
      <c r="R2" s="185"/>
      <c r="S2" s="24" t="s">
        <v>1408</v>
      </c>
      <c r="T2" s="24" t="s">
        <v>1436</v>
      </c>
      <c r="V2" s="202" t="s">
        <v>1437</v>
      </c>
      <c r="W2" s="203"/>
      <c r="X2" s="204"/>
      <c r="Y2" s="23">
        <v>0.8</v>
      </c>
    </row>
    <row r="3" spans="2:25" ht="21" customHeight="1" thickBot="1" x14ac:dyDescent="0.35">
      <c r="B3" s="170" t="s">
        <v>423</v>
      </c>
      <c r="D3" s="172" t="s">
        <v>1406</v>
      </c>
      <c r="E3" s="177" t="s">
        <v>2079</v>
      </c>
      <c r="F3" s="157" t="s">
        <v>1375</v>
      </c>
      <c r="G3" s="158" t="s">
        <v>424</v>
      </c>
      <c r="H3" s="108" t="str">
        <f>IF('Practices and Requirements'!E4="False","Not implemented","Implemented")</f>
        <v>Implemented</v>
      </c>
      <c r="I3" s="10">
        <f>'Practices and Requirements'!G5</f>
        <v>0</v>
      </c>
      <c r="J3" s="10">
        <f>'Practices and Requirements'!G10</f>
        <v>0</v>
      </c>
      <c r="K3" s="10">
        <f>'Practices and Requirements'!G12</f>
        <v>0</v>
      </c>
      <c r="L3" s="10">
        <f>'Practices and Requirements'!G15</f>
        <v>0</v>
      </c>
      <c r="M3" s="114">
        <f>SUM(I3:L3)/4</f>
        <v>0</v>
      </c>
      <c r="N3" s="198">
        <f>AVERAGE(M3:M4)</f>
        <v>0</v>
      </c>
      <c r="O3" s="199">
        <f>AVERAGE(M3:M42)</f>
        <v>0</v>
      </c>
      <c r="Q3" s="159">
        <v>0</v>
      </c>
      <c r="R3" s="160" t="s">
        <v>1409</v>
      </c>
      <c r="S3" s="161">
        <f>'DAF maturity pyramid'!C87</f>
        <v>0</v>
      </c>
      <c r="T3" s="186">
        <f>Y10</f>
        <v>0</v>
      </c>
    </row>
    <row r="4" spans="2:25" ht="21" customHeight="1" x14ac:dyDescent="0.3">
      <c r="B4" s="170"/>
      <c r="D4" s="173"/>
      <c r="E4" s="178"/>
      <c r="F4" s="58" t="s">
        <v>1376</v>
      </c>
      <c r="G4" s="9" t="s">
        <v>425</v>
      </c>
      <c r="H4" s="108" t="str">
        <f>IF('Practices and Requirements'!E17="False","Not implemented","Implemented")</f>
        <v>Implemented</v>
      </c>
      <c r="I4" s="10">
        <f>'Practices and Requirements'!G18</f>
        <v>0</v>
      </c>
      <c r="J4" s="10">
        <f>'Practices and Requirements'!G23</f>
        <v>0</v>
      </c>
      <c r="K4" s="10">
        <f>'Practices and Requirements'!G25</f>
        <v>0</v>
      </c>
      <c r="L4" s="10">
        <f>'Practices and Requirements'!G27</f>
        <v>0</v>
      </c>
      <c r="M4" s="114">
        <f>SUM(I4:L4)/4</f>
        <v>0</v>
      </c>
      <c r="N4" s="198"/>
      <c r="O4" s="199"/>
      <c r="Q4" s="11">
        <v>1</v>
      </c>
      <c r="R4" s="100" t="s">
        <v>1410</v>
      </c>
      <c r="S4" s="110">
        <f>'DAF maturity pyramid'!D87</f>
        <v>0</v>
      </c>
      <c r="T4" s="187"/>
      <c r="V4" s="189" t="s">
        <v>2029</v>
      </c>
      <c r="W4" s="190"/>
      <c r="X4" s="191"/>
      <c r="Y4" s="75">
        <f>IF(AND(S3&gt;=Y2, S4&gt;=Y2),1,0)</f>
        <v>0</v>
      </c>
    </row>
    <row r="5" spans="2:25" ht="21" customHeight="1" x14ac:dyDescent="0.3">
      <c r="B5" s="170"/>
      <c r="D5" s="173"/>
      <c r="E5" s="179" t="s">
        <v>1417</v>
      </c>
      <c r="F5" s="58" t="s">
        <v>1377</v>
      </c>
      <c r="G5" s="9" t="s">
        <v>426</v>
      </c>
      <c r="H5" s="108" t="str">
        <f>IF('Practices and Requirements'!E33="False","Not implemented","Implemented")</f>
        <v>Implemented</v>
      </c>
      <c r="I5" s="10">
        <f>'Practices and Requirements'!G34</f>
        <v>0</v>
      </c>
      <c r="J5" s="10">
        <f>'Practices and Requirements'!G36</f>
        <v>0</v>
      </c>
      <c r="K5" s="10"/>
      <c r="L5" s="10"/>
      <c r="M5" s="114">
        <f>SUM(I5:J5)/2</f>
        <v>0</v>
      </c>
      <c r="N5" s="198">
        <f>AVERAGE(M5:M10)</f>
        <v>0</v>
      </c>
      <c r="O5" s="199"/>
      <c r="Q5" s="12">
        <v>2</v>
      </c>
      <c r="R5" s="101" t="s">
        <v>1411</v>
      </c>
      <c r="S5" s="110">
        <f>'DAF maturity pyramid'!E87</f>
        <v>0</v>
      </c>
      <c r="T5" s="187"/>
      <c r="V5" s="192"/>
      <c r="W5" s="193"/>
      <c r="X5" s="194"/>
      <c r="Y5" s="76">
        <f>IF(AND(Y4=1,S5&gt;=Y2),2,Y4)</f>
        <v>0</v>
      </c>
    </row>
    <row r="6" spans="2:25" ht="21" customHeight="1" x14ac:dyDescent="0.3">
      <c r="B6" s="170"/>
      <c r="D6" s="173"/>
      <c r="E6" s="177"/>
      <c r="F6" s="58" t="s">
        <v>1378</v>
      </c>
      <c r="G6" s="9" t="s">
        <v>427</v>
      </c>
      <c r="H6" s="108" t="str">
        <f>IF('Practices and Requirements'!E37="False","Not implemented","Implemented")</f>
        <v>Implemented</v>
      </c>
      <c r="I6" s="10">
        <f>'Practices and Requirements'!G38</f>
        <v>0</v>
      </c>
      <c r="J6" s="10">
        <f>'Practices and Requirements'!G40</f>
        <v>0</v>
      </c>
      <c r="K6" s="10">
        <f>'Practices and Requirements'!G42</f>
        <v>0</v>
      </c>
      <c r="L6" s="10">
        <f>'Practices and Requirements'!G44</f>
        <v>0</v>
      </c>
      <c r="M6" s="114">
        <f t="shared" ref="M6:M15" si="0">SUM(I6:L6)/4</f>
        <v>0</v>
      </c>
      <c r="N6" s="198"/>
      <c r="O6" s="199"/>
      <c r="Q6" s="13">
        <v>3</v>
      </c>
      <c r="R6" s="102" t="s">
        <v>1412</v>
      </c>
      <c r="S6" s="110">
        <f>'DAF maturity pyramid'!F87</f>
        <v>0</v>
      </c>
      <c r="T6" s="187"/>
      <c r="V6" s="192"/>
      <c r="W6" s="193"/>
      <c r="X6" s="194"/>
      <c r="Y6" s="76">
        <f>IF(AND(Y5=2,S6&gt;=Y2),3,Y5)</f>
        <v>0</v>
      </c>
    </row>
    <row r="7" spans="2:25" ht="21" customHeight="1" x14ac:dyDescent="0.3">
      <c r="B7" s="170"/>
      <c r="D7" s="173"/>
      <c r="E7" s="177"/>
      <c r="F7" s="58" t="s">
        <v>1379</v>
      </c>
      <c r="G7" s="9" t="s">
        <v>428</v>
      </c>
      <c r="H7" s="108" t="str">
        <f>IF('Practices and Requirements'!E45="False","Not implemented","Implemented")</f>
        <v>Implemented</v>
      </c>
      <c r="I7" s="10">
        <f>'Practices and Requirements'!G46</f>
        <v>0</v>
      </c>
      <c r="J7" s="10">
        <f>'Practices and Requirements'!G50</f>
        <v>0</v>
      </c>
      <c r="K7" s="10">
        <f>'Practices and Requirements'!G51</f>
        <v>0</v>
      </c>
      <c r="L7" s="10">
        <f>'Practices and Requirements'!G54</f>
        <v>0</v>
      </c>
      <c r="M7" s="114">
        <f t="shared" si="0"/>
        <v>0</v>
      </c>
      <c r="N7" s="198"/>
      <c r="O7" s="199"/>
      <c r="Q7" s="14">
        <v>4</v>
      </c>
      <c r="R7" s="103" t="s">
        <v>1413</v>
      </c>
      <c r="S7" s="110">
        <f>'DAF maturity pyramid'!G87</f>
        <v>0</v>
      </c>
      <c r="T7" s="187"/>
      <c r="V7" s="192"/>
      <c r="W7" s="193"/>
      <c r="X7" s="194"/>
      <c r="Y7" s="76">
        <f>IF(AND(Y6=3,S7&gt;=Y2),4,Y6)</f>
        <v>0</v>
      </c>
    </row>
    <row r="8" spans="2:25" ht="21" customHeight="1" x14ac:dyDescent="0.3">
      <c r="B8" s="170"/>
      <c r="D8" s="173"/>
      <c r="E8" s="177"/>
      <c r="F8" s="58" t="s">
        <v>1430</v>
      </c>
      <c r="G8" s="9" t="s">
        <v>429</v>
      </c>
      <c r="H8" s="108" t="str">
        <f>IF('Practices and Requirements'!E55="False","Not implemented","Implemented")</f>
        <v>Implemented</v>
      </c>
      <c r="I8" s="10">
        <f>'Practices and Requirements'!G56</f>
        <v>0</v>
      </c>
      <c r="J8" s="10">
        <f>'Practices and Requirements'!G63</f>
        <v>0</v>
      </c>
      <c r="K8" s="10">
        <f>'Practices and Requirements'!G69</f>
        <v>0</v>
      </c>
      <c r="L8" s="10">
        <f>'Practices and Requirements'!G73</f>
        <v>0</v>
      </c>
      <c r="M8" s="114">
        <f t="shared" si="0"/>
        <v>0</v>
      </c>
      <c r="N8" s="198"/>
      <c r="O8" s="199"/>
      <c r="Q8" s="15">
        <v>5</v>
      </c>
      <c r="R8" s="104" t="s">
        <v>1414</v>
      </c>
      <c r="S8" s="110">
        <f>'DAF maturity pyramid'!H87</f>
        <v>0</v>
      </c>
      <c r="T8" s="187"/>
      <c r="V8" s="192"/>
      <c r="W8" s="193"/>
      <c r="X8" s="194"/>
      <c r="Y8" s="76">
        <f>IF(AND(Y7=4,S8&gt;=Y2),5,Y7)</f>
        <v>0</v>
      </c>
    </row>
    <row r="9" spans="2:25" ht="21" customHeight="1" x14ac:dyDescent="0.3">
      <c r="B9" s="170"/>
      <c r="D9" s="173"/>
      <c r="E9" s="177"/>
      <c r="F9" s="58" t="s">
        <v>1429</v>
      </c>
      <c r="G9" s="9" t="s">
        <v>430</v>
      </c>
      <c r="H9" s="108" t="str">
        <f>IF('Practices and Requirements'!E76="False","Not implemented","Implemented")</f>
        <v>Implemented</v>
      </c>
      <c r="I9" s="10">
        <f>'Practices and Requirements'!G77</f>
        <v>0</v>
      </c>
      <c r="J9" s="10">
        <f>'Practices and Requirements'!G82</f>
        <v>0</v>
      </c>
      <c r="K9" s="10">
        <f>'Practices and Requirements'!G88</f>
        <v>0</v>
      </c>
      <c r="L9" s="10">
        <f>'Practices and Requirements'!G94</f>
        <v>0</v>
      </c>
      <c r="M9" s="114">
        <f t="shared" si="0"/>
        <v>0</v>
      </c>
      <c r="N9" s="198"/>
      <c r="O9" s="199"/>
      <c r="Q9" s="16">
        <v>6</v>
      </c>
      <c r="R9" s="105" t="s">
        <v>1415</v>
      </c>
      <c r="S9" s="110">
        <f>'DAF maturity pyramid'!I87</f>
        <v>0</v>
      </c>
      <c r="T9" s="187"/>
      <c r="V9" s="192"/>
      <c r="W9" s="193"/>
      <c r="X9" s="194"/>
      <c r="Y9" s="76">
        <f>IF(AND(Y8=5,S9&gt;=Y2),6,Y8)</f>
        <v>0</v>
      </c>
    </row>
    <row r="10" spans="2:25" ht="21" customHeight="1" thickBot="1" x14ac:dyDescent="0.35">
      <c r="B10" s="170"/>
      <c r="D10" s="173"/>
      <c r="E10" s="178"/>
      <c r="F10" s="58" t="s">
        <v>1380</v>
      </c>
      <c r="G10" s="9" t="s">
        <v>431</v>
      </c>
      <c r="H10" s="108" t="str">
        <f>IF('Practices and Requirements'!E95="False","Not implemented","Implemented")</f>
        <v>Implemented</v>
      </c>
      <c r="I10" s="10">
        <f>'Practices and Requirements'!G96</f>
        <v>0</v>
      </c>
      <c r="J10" s="10">
        <f>'Practices and Requirements'!G101</f>
        <v>0</v>
      </c>
      <c r="K10" s="10">
        <f>'Practices and Requirements'!G103</f>
        <v>0</v>
      </c>
      <c r="L10" s="10">
        <f>'Practices and Requirements'!G104</f>
        <v>0</v>
      </c>
      <c r="M10" s="114">
        <f t="shared" si="0"/>
        <v>0</v>
      </c>
      <c r="N10" s="198"/>
      <c r="O10" s="199"/>
      <c r="Q10" s="17">
        <v>7</v>
      </c>
      <c r="R10" s="106" t="s">
        <v>1416</v>
      </c>
      <c r="S10" s="111">
        <f>'DAF maturity pyramid'!J87</f>
        <v>0</v>
      </c>
      <c r="T10" s="188"/>
      <c r="V10" s="195"/>
      <c r="W10" s="196"/>
      <c r="X10" s="197"/>
      <c r="Y10" s="77">
        <f>IF(AND(Y9=6,S10&gt;=Y2),7,Y9)</f>
        <v>0</v>
      </c>
    </row>
    <row r="11" spans="2:25" ht="21" customHeight="1" x14ac:dyDescent="0.3">
      <c r="B11" s="170"/>
      <c r="D11" s="173"/>
      <c r="E11" s="179" t="s">
        <v>1418</v>
      </c>
      <c r="F11" s="58" t="s">
        <v>1381</v>
      </c>
      <c r="G11" s="9" t="s">
        <v>740</v>
      </c>
      <c r="H11" s="108" t="str">
        <f>IF('Practices and Requirements'!E107="False","Not implemented","Implemented")</f>
        <v>Implemented</v>
      </c>
      <c r="I11" s="10">
        <f>'Practices and Requirements'!G108</f>
        <v>0</v>
      </c>
      <c r="J11" s="10">
        <f>'Practices and Requirements'!G110</f>
        <v>0</v>
      </c>
      <c r="K11" s="10">
        <f>'Practices and Requirements'!G114</f>
        <v>0</v>
      </c>
      <c r="L11" s="10">
        <f>'Practices and Requirements'!G119</f>
        <v>0</v>
      </c>
      <c r="M11" s="114">
        <f t="shared" si="0"/>
        <v>0</v>
      </c>
      <c r="N11" s="198">
        <f>AVERAGE(M11:M16)</f>
        <v>0</v>
      </c>
      <c r="O11" s="199"/>
      <c r="Q11" s="18"/>
    </row>
    <row r="12" spans="2:25" ht="21" customHeight="1" x14ac:dyDescent="0.3">
      <c r="B12" s="170"/>
      <c r="D12" s="173"/>
      <c r="E12" s="177"/>
      <c r="F12" s="58" t="s">
        <v>1382</v>
      </c>
      <c r="G12" s="9" t="s">
        <v>432</v>
      </c>
      <c r="H12" s="108" t="str">
        <f>IF('Practices and Requirements'!E120="False","Not implemented","Implemented")</f>
        <v>Implemented</v>
      </c>
      <c r="I12" s="10">
        <f>'Practices and Requirements'!G121</f>
        <v>0</v>
      </c>
      <c r="J12" s="10">
        <f>'Practices and Requirements'!G123</f>
        <v>0</v>
      </c>
      <c r="K12" s="10">
        <f>'Practices and Requirements'!G127</f>
        <v>0</v>
      </c>
      <c r="L12" s="10">
        <f>'Practices and Requirements'!G130</f>
        <v>0</v>
      </c>
      <c r="M12" s="114">
        <f t="shared" si="0"/>
        <v>0</v>
      </c>
      <c r="N12" s="198"/>
      <c r="O12" s="199"/>
    </row>
    <row r="13" spans="2:25" ht="21" customHeight="1" x14ac:dyDescent="0.3">
      <c r="B13" s="170"/>
      <c r="D13" s="173"/>
      <c r="E13" s="177"/>
      <c r="F13" s="58" t="s">
        <v>1383</v>
      </c>
      <c r="G13" s="9" t="s">
        <v>433</v>
      </c>
      <c r="H13" s="108" t="str">
        <f>IF('Practices and Requirements'!E131="False","Not implemented","Implemented")</f>
        <v>Implemented</v>
      </c>
      <c r="I13" s="10">
        <f>'Practices and Requirements'!G132</f>
        <v>0</v>
      </c>
      <c r="J13" s="10">
        <f>'Practices and Requirements'!G135</f>
        <v>0</v>
      </c>
      <c r="K13" s="10">
        <f>'Practices and Requirements'!G140</f>
        <v>0</v>
      </c>
      <c r="L13" s="10">
        <f>'Practices and Requirements'!G144</f>
        <v>0</v>
      </c>
      <c r="M13" s="114">
        <f t="shared" si="0"/>
        <v>0</v>
      </c>
      <c r="N13" s="198"/>
      <c r="O13" s="199"/>
    </row>
    <row r="14" spans="2:25" ht="21" customHeight="1" x14ac:dyDescent="0.3">
      <c r="B14" s="170"/>
      <c r="D14" s="173"/>
      <c r="E14" s="177"/>
      <c r="F14" s="58" t="s">
        <v>1384</v>
      </c>
      <c r="G14" s="9" t="s">
        <v>434</v>
      </c>
      <c r="H14" s="108" t="str">
        <f>IF('Practices and Requirements'!E145="False","Not implemented","Implemented")</f>
        <v>Implemented</v>
      </c>
      <c r="I14" s="10">
        <f>'Practices and Requirements'!G146</f>
        <v>0</v>
      </c>
      <c r="J14" s="10">
        <f>'Practices and Requirements'!G149</f>
        <v>0</v>
      </c>
      <c r="K14" s="10">
        <f>'Practices and Requirements'!G152</f>
        <v>0</v>
      </c>
      <c r="L14" s="10">
        <f>'Practices and Requirements'!G153</f>
        <v>0</v>
      </c>
      <c r="M14" s="114">
        <f t="shared" si="0"/>
        <v>0</v>
      </c>
      <c r="N14" s="198"/>
      <c r="O14" s="199"/>
    </row>
    <row r="15" spans="2:25" ht="21" customHeight="1" x14ac:dyDescent="0.3">
      <c r="B15" s="170"/>
      <c r="D15" s="173"/>
      <c r="E15" s="177"/>
      <c r="F15" s="58" t="s">
        <v>1385</v>
      </c>
      <c r="G15" s="9" t="s">
        <v>435</v>
      </c>
      <c r="H15" s="108" t="str">
        <f>IF('Practices and Requirements'!E155="False","Not implemented","Implemented")</f>
        <v>Implemented</v>
      </c>
      <c r="I15" s="10">
        <f>'Practices and Requirements'!G156</f>
        <v>0</v>
      </c>
      <c r="J15" s="10">
        <f>'Practices and Requirements'!G160</f>
        <v>0</v>
      </c>
      <c r="K15" s="10">
        <f>'Practices and Requirements'!G163</f>
        <v>0</v>
      </c>
      <c r="L15" s="10">
        <f>'Practices and Requirements'!G166</f>
        <v>0</v>
      </c>
      <c r="M15" s="114">
        <f t="shared" si="0"/>
        <v>0</v>
      </c>
      <c r="N15" s="198"/>
      <c r="O15" s="199"/>
    </row>
    <row r="16" spans="2:25" ht="21" customHeight="1" x14ac:dyDescent="0.3">
      <c r="B16" s="170"/>
      <c r="D16" s="173"/>
      <c r="E16" s="178"/>
      <c r="F16" s="58" t="s">
        <v>1425</v>
      </c>
      <c r="G16" s="9" t="s">
        <v>436</v>
      </c>
      <c r="H16" s="108" t="str">
        <f>IF('Practices and Requirements'!E167="False","Not implemented","Implemented")</f>
        <v>Implemented</v>
      </c>
      <c r="I16" s="10">
        <f>'Practices and Requirements'!G168</f>
        <v>0</v>
      </c>
      <c r="J16" s="10">
        <f>'Practices and Requirements'!G170</f>
        <v>0</v>
      </c>
      <c r="K16" s="10"/>
      <c r="L16" s="10"/>
      <c r="M16" s="114">
        <f>SUM(I16:J16)/2</f>
        <v>0</v>
      </c>
      <c r="N16" s="198"/>
      <c r="O16" s="199"/>
    </row>
    <row r="17" spans="2:15" ht="21" customHeight="1" x14ac:dyDescent="0.3">
      <c r="B17" s="170"/>
      <c r="D17" s="173"/>
      <c r="E17" s="179" t="s">
        <v>1419</v>
      </c>
      <c r="F17" s="58" t="s">
        <v>1386</v>
      </c>
      <c r="G17" s="9" t="s">
        <v>437</v>
      </c>
      <c r="H17" s="108" t="str">
        <f>IF('Practices and Requirements'!E173="False","Not implemented","Implemented")</f>
        <v>Implemented</v>
      </c>
      <c r="I17" s="10">
        <f>'Practices and Requirements'!G174</f>
        <v>0</v>
      </c>
      <c r="J17" s="10">
        <f>'Practices and Requirements'!G176</f>
        <v>0</v>
      </c>
      <c r="K17" s="10">
        <f>'Practices and Requirements'!G180</f>
        <v>0</v>
      </c>
      <c r="L17" s="10">
        <f>'Practices and Requirements'!G184</f>
        <v>0</v>
      </c>
      <c r="M17" s="114">
        <f>SUM(I17:L17)/4</f>
        <v>0</v>
      </c>
      <c r="N17" s="198">
        <f>AVERAGE(M17:M21)</f>
        <v>0</v>
      </c>
      <c r="O17" s="199"/>
    </row>
    <row r="18" spans="2:15" ht="21" customHeight="1" x14ac:dyDescent="0.3">
      <c r="B18" s="170"/>
      <c r="D18" s="173"/>
      <c r="E18" s="177"/>
      <c r="F18" s="58" t="s">
        <v>1426</v>
      </c>
      <c r="G18" s="9" t="s">
        <v>438</v>
      </c>
      <c r="H18" s="108" t="str">
        <f>IF('Practices and Requirements'!E187="False","Not implemented","Implemented")</f>
        <v>Implemented</v>
      </c>
      <c r="I18" s="10">
        <f>'Practices and Requirements'!G188</f>
        <v>0</v>
      </c>
      <c r="J18" s="10">
        <f>'Practices and Requirements'!G191</f>
        <v>0</v>
      </c>
      <c r="K18" s="10"/>
      <c r="L18" s="10">
        <f>'Practices and Requirements'!G192</f>
        <v>0</v>
      </c>
      <c r="M18" s="114">
        <f>SUM(I18:L18)/3</f>
        <v>0</v>
      </c>
      <c r="N18" s="198"/>
      <c r="O18" s="199"/>
    </row>
    <row r="19" spans="2:15" ht="21" customHeight="1" x14ac:dyDescent="0.3">
      <c r="B19" s="170"/>
      <c r="D19" s="173"/>
      <c r="E19" s="177"/>
      <c r="F19" s="58" t="s">
        <v>1387</v>
      </c>
      <c r="G19" s="9" t="s">
        <v>439</v>
      </c>
      <c r="H19" s="108" t="str">
        <f>IF('Practices and Requirements'!E193="False","Not implemented","Implemented")</f>
        <v>Implemented</v>
      </c>
      <c r="I19" s="10">
        <f>'Practices and Requirements'!G194</f>
        <v>0</v>
      </c>
      <c r="J19" s="10">
        <f>'Practices and Requirements'!G195</f>
        <v>0</v>
      </c>
      <c r="K19" s="10">
        <f>'Practices and Requirements'!G197</f>
        <v>0</v>
      </c>
      <c r="L19" s="10"/>
      <c r="M19" s="114">
        <f>SUM(I19:K19)/3</f>
        <v>0</v>
      </c>
      <c r="N19" s="198"/>
      <c r="O19" s="199"/>
    </row>
    <row r="20" spans="2:15" ht="21" customHeight="1" x14ac:dyDescent="0.3">
      <c r="B20" s="170"/>
      <c r="D20" s="173"/>
      <c r="E20" s="177"/>
      <c r="F20" s="59" t="s">
        <v>2072</v>
      </c>
      <c r="G20" s="9" t="s">
        <v>440</v>
      </c>
      <c r="H20" s="108" t="str">
        <f>IF('Practices and Requirements'!E210="False","Not implemented","Implemented")</f>
        <v>Implemented</v>
      </c>
      <c r="I20" s="10">
        <f>'Practices and Requirements'!G211</f>
        <v>0</v>
      </c>
      <c r="J20" s="10">
        <f>'Practices and Requirements'!G212</f>
        <v>0</v>
      </c>
      <c r="K20" s="10"/>
      <c r="L20" s="10"/>
      <c r="M20" s="114">
        <f>SUM(I20:J20)/2</f>
        <v>0</v>
      </c>
      <c r="N20" s="198"/>
      <c r="O20" s="199"/>
    </row>
    <row r="21" spans="2:15" ht="21" customHeight="1" x14ac:dyDescent="0.3">
      <c r="B21" s="170"/>
      <c r="D21" s="173"/>
      <c r="E21" s="178"/>
      <c r="F21" s="58" t="s">
        <v>1428</v>
      </c>
      <c r="G21" s="9" t="s">
        <v>441</v>
      </c>
      <c r="H21" s="108" t="str">
        <f>IF('Practices and Requirements'!E198="False","Not implemented","Implemented")</f>
        <v>Implemented</v>
      </c>
      <c r="I21" s="10">
        <f>'Practices and Requirements'!G199</f>
        <v>0</v>
      </c>
      <c r="J21" s="10">
        <f>'Practices and Requirements'!G201</f>
        <v>0</v>
      </c>
      <c r="K21" s="10">
        <f>'Practices and Requirements'!G204</f>
        <v>0</v>
      </c>
      <c r="L21" s="10">
        <f>'Practices and Requirements'!G208</f>
        <v>0</v>
      </c>
      <c r="M21" s="114">
        <f>SUM(I21:L21)/4</f>
        <v>0</v>
      </c>
      <c r="N21" s="198"/>
      <c r="O21" s="199"/>
    </row>
    <row r="22" spans="2:15" ht="21" customHeight="1" x14ac:dyDescent="0.3">
      <c r="B22" s="170"/>
      <c r="D22" s="173"/>
      <c r="E22" s="179" t="s">
        <v>1433</v>
      </c>
      <c r="F22" s="58" t="s">
        <v>1388</v>
      </c>
      <c r="G22" s="9" t="s">
        <v>442</v>
      </c>
      <c r="H22" s="108" t="str">
        <f>IF('Practices and Requirements'!E215="False","Not implemented","Implemented")</f>
        <v>Implemented</v>
      </c>
      <c r="I22" s="10">
        <f>'Practices and Requirements'!G216</f>
        <v>0</v>
      </c>
      <c r="J22" s="10">
        <f>'Practices and Requirements'!G218</f>
        <v>0</v>
      </c>
      <c r="K22" s="10">
        <f>'Practices and Requirements'!G220</f>
        <v>0</v>
      </c>
      <c r="L22" s="10">
        <f>'Practices and Requirements'!G223</f>
        <v>0</v>
      </c>
      <c r="M22" s="114">
        <f>SUM(I22:L22)/4</f>
        <v>0</v>
      </c>
      <c r="N22" s="198">
        <f>AVERAGE(M22:M29)</f>
        <v>0</v>
      </c>
      <c r="O22" s="199"/>
    </row>
    <row r="23" spans="2:15" ht="21" customHeight="1" x14ac:dyDescent="0.3">
      <c r="B23" s="170"/>
      <c r="D23" s="173"/>
      <c r="E23" s="177"/>
      <c r="F23" s="58" t="s">
        <v>1389</v>
      </c>
      <c r="G23" s="9" t="s">
        <v>443</v>
      </c>
      <c r="H23" s="108" t="str">
        <f>IF('Practices and Requirements'!E234="False","Not implemented","Implemented")</f>
        <v>Implemented</v>
      </c>
      <c r="I23" s="10">
        <f>'Practices and Requirements'!G235</f>
        <v>0</v>
      </c>
      <c r="J23" s="10">
        <f>'Practices and Requirements'!G238</f>
        <v>0</v>
      </c>
      <c r="K23" s="10">
        <f>'Practices and Requirements'!G242</f>
        <v>0</v>
      </c>
      <c r="L23" s="10">
        <f>'Practices and Requirements'!G246</f>
        <v>0</v>
      </c>
      <c r="M23" s="114">
        <f>SUM(I23:L23)/4</f>
        <v>0</v>
      </c>
      <c r="N23" s="198"/>
      <c r="O23" s="199"/>
    </row>
    <row r="24" spans="2:15" ht="21" customHeight="1" x14ac:dyDescent="0.3">
      <c r="B24" s="170"/>
      <c r="D24" s="173"/>
      <c r="E24" s="177"/>
      <c r="F24" s="58" t="s">
        <v>1390</v>
      </c>
      <c r="G24" s="9" t="s">
        <v>444</v>
      </c>
      <c r="H24" s="108" t="str">
        <f>IF('Practices and Requirements'!E226="False","Not implemented","Implemented")</f>
        <v>Implemented</v>
      </c>
      <c r="I24" s="10">
        <f>'Practices and Requirements'!G227</f>
        <v>0</v>
      </c>
      <c r="J24" s="10">
        <f>'Practices and Requirements'!G230</f>
        <v>0</v>
      </c>
      <c r="K24" s="10">
        <f>'Practices and Requirements'!G231</f>
        <v>0</v>
      </c>
      <c r="L24" s="10">
        <f>'Practices and Requirements'!G232</f>
        <v>0</v>
      </c>
      <c r="M24" s="114">
        <f>SUM(I24:L24)/4</f>
        <v>0</v>
      </c>
      <c r="N24" s="198"/>
      <c r="O24" s="199"/>
    </row>
    <row r="25" spans="2:15" ht="21" customHeight="1" x14ac:dyDescent="0.3">
      <c r="B25" s="170"/>
      <c r="D25" s="173"/>
      <c r="E25" s="177"/>
      <c r="F25" s="58" t="s">
        <v>1391</v>
      </c>
      <c r="G25" s="9" t="s">
        <v>445</v>
      </c>
      <c r="H25" s="108" t="str">
        <f>IF('Practices and Requirements'!E249="False","Not implemented","Implemented")</f>
        <v>Implemented</v>
      </c>
      <c r="I25" s="10">
        <f>'Practices and Requirements'!G250</f>
        <v>0</v>
      </c>
      <c r="J25" s="10">
        <f>'Practices and Requirements'!G255</f>
        <v>0</v>
      </c>
      <c r="K25" s="10">
        <f>'Practices and Requirements'!G257</f>
        <v>0</v>
      </c>
      <c r="L25" s="10">
        <f>'Practices and Requirements'!G258</f>
        <v>0</v>
      </c>
      <c r="M25" s="114">
        <f>SUM(I25:L25)/4</f>
        <v>0</v>
      </c>
      <c r="N25" s="198"/>
      <c r="O25" s="199"/>
    </row>
    <row r="26" spans="2:15" ht="21" customHeight="1" x14ac:dyDescent="0.3">
      <c r="B26" s="170"/>
      <c r="D26" s="173"/>
      <c r="E26" s="177"/>
      <c r="F26" s="58" t="s">
        <v>1392</v>
      </c>
      <c r="G26" s="9" t="s">
        <v>446</v>
      </c>
      <c r="H26" s="108" t="str">
        <f>IF('Practices and Requirements'!E259="False","Not implemented","Implemented")</f>
        <v>Implemented</v>
      </c>
      <c r="I26" s="10">
        <f>'Practices and Requirements'!G260</f>
        <v>0</v>
      </c>
      <c r="J26" s="10">
        <f>'Practices and Requirements'!G262</f>
        <v>0</v>
      </c>
      <c r="K26" s="10">
        <f>'Practices and Requirements'!G264</f>
        <v>0</v>
      </c>
      <c r="L26" s="10"/>
      <c r="M26" s="114">
        <f>SUM(I26:K26)/3</f>
        <v>0</v>
      </c>
      <c r="N26" s="198"/>
      <c r="O26" s="199"/>
    </row>
    <row r="27" spans="2:15" ht="21" customHeight="1" x14ac:dyDescent="0.3">
      <c r="B27" s="170"/>
      <c r="D27" s="173"/>
      <c r="E27" s="177"/>
      <c r="F27" s="58" t="s">
        <v>1393</v>
      </c>
      <c r="G27" s="9" t="s">
        <v>447</v>
      </c>
      <c r="H27" s="108" t="str">
        <f>IF('Practices and Requirements'!E265="False","Not implemented","Implemented")</f>
        <v>Implemented</v>
      </c>
      <c r="I27" s="10">
        <f>'Practices and Requirements'!G266</f>
        <v>0</v>
      </c>
      <c r="J27" s="10">
        <f>'Practices and Requirements'!G267</f>
        <v>0</v>
      </c>
      <c r="K27" s="10">
        <f>'Practices and Requirements'!G268</f>
        <v>0</v>
      </c>
      <c r="L27" s="10"/>
      <c r="M27" s="114">
        <f>SUM(I27:K27)/3</f>
        <v>0</v>
      </c>
      <c r="N27" s="198"/>
      <c r="O27" s="199"/>
    </row>
    <row r="28" spans="2:15" ht="21" customHeight="1" x14ac:dyDescent="0.3">
      <c r="B28" s="170"/>
      <c r="D28" s="173"/>
      <c r="E28" s="177"/>
      <c r="F28" s="58" t="s">
        <v>1427</v>
      </c>
      <c r="G28" s="9" t="s">
        <v>448</v>
      </c>
      <c r="H28" s="108" t="str">
        <f>IF('Practices and Requirements'!E269="False","Not implemented","Implemented")</f>
        <v>Implemented</v>
      </c>
      <c r="I28" s="10">
        <f>'Practices and Requirements'!G270</f>
        <v>0</v>
      </c>
      <c r="J28" s="10">
        <f>'Practices and Requirements'!G272</f>
        <v>0</v>
      </c>
      <c r="K28" s="10">
        <f>'Practices and Requirements'!G275</f>
        <v>0</v>
      </c>
      <c r="L28" s="10">
        <f>'Practices and Requirements'!G279</f>
        <v>0</v>
      </c>
      <c r="M28" s="114">
        <f>SUM(I28:L28)/4</f>
        <v>0</v>
      </c>
      <c r="N28" s="198"/>
      <c r="O28" s="199"/>
    </row>
    <row r="29" spans="2:15" ht="21" customHeight="1" x14ac:dyDescent="0.3">
      <c r="B29" s="170"/>
      <c r="D29" s="174"/>
      <c r="E29" s="178"/>
      <c r="F29" s="58" t="s">
        <v>1394</v>
      </c>
      <c r="G29" s="9" t="s">
        <v>449</v>
      </c>
      <c r="H29" s="108" t="str">
        <f>IF('Practices and Requirements'!E281="False","Not implemented","Implemented")</f>
        <v>Implemented</v>
      </c>
      <c r="I29" s="10"/>
      <c r="J29" s="10">
        <f>'Practices and Requirements'!G282</f>
        <v>0</v>
      </c>
      <c r="K29" s="10">
        <f>'Practices and Requirements'!G283</f>
        <v>0</v>
      </c>
      <c r="L29" s="10"/>
      <c r="M29" s="114">
        <f>SUM(J29:K29)/2</f>
        <v>0</v>
      </c>
      <c r="N29" s="198"/>
      <c r="O29" s="199"/>
    </row>
    <row r="30" spans="2:15" ht="21" customHeight="1" x14ac:dyDescent="0.3">
      <c r="B30" s="171" t="s">
        <v>450</v>
      </c>
      <c r="D30" s="175" t="s">
        <v>1405</v>
      </c>
      <c r="E30" s="167" t="s">
        <v>1420</v>
      </c>
      <c r="F30" s="59" t="s">
        <v>1395</v>
      </c>
      <c r="G30" s="19" t="s">
        <v>451</v>
      </c>
      <c r="H30" s="108" t="str">
        <f>IF('Practices and Requirements'!E286="False","Not implemented","Implemented")</f>
        <v>Implemented</v>
      </c>
      <c r="I30" s="10">
        <f>'Practices and Requirements'!G287</f>
        <v>0</v>
      </c>
      <c r="J30" s="10">
        <f>'Practices and Requirements'!G289</f>
        <v>0</v>
      </c>
      <c r="K30" s="10">
        <f>'Practices and Requirements'!G293</f>
        <v>0</v>
      </c>
      <c r="L30" s="10">
        <f>'Practices and Requirements'!G295</f>
        <v>0</v>
      </c>
      <c r="M30" s="114">
        <f t="shared" ref="M30:M38" si="1">SUM(I30:L30)/4</f>
        <v>0</v>
      </c>
      <c r="N30" s="198">
        <f>AVERAGE(M30:M31)</f>
        <v>0</v>
      </c>
      <c r="O30" s="199"/>
    </row>
    <row r="31" spans="2:15" ht="21" customHeight="1" x14ac:dyDescent="0.3">
      <c r="B31" s="171"/>
      <c r="D31" s="173"/>
      <c r="E31" s="167"/>
      <c r="F31" s="59" t="s">
        <v>1396</v>
      </c>
      <c r="G31" s="19" t="s">
        <v>452</v>
      </c>
      <c r="H31" s="108" t="str">
        <f>IF('Practices and Requirements'!E296="False","Not implemented","Implemented")</f>
        <v>Implemented</v>
      </c>
      <c r="I31" s="10">
        <f>'Practices and Requirements'!G297</f>
        <v>0</v>
      </c>
      <c r="J31" s="10">
        <f>'Practices and Requirements'!G298</f>
        <v>0</v>
      </c>
      <c r="K31" s="10">
        <f>'Practices and Requirements'!G300</f>
        <v>0</v>
      </c>
      <c r="L31" s="10">
        <f>'Practices and Requirements'!G303</f>
        <v>0</v>
      </c>
      <c r="M31" s="114">
        <f t="shared" si="1"/>
        <v>0</v>
      </c>
      <c r="N31" s="198"/>
      <c r="O31" s="199"/>
    </row>
    <row r="32" spans="2:15" ht="21" customHeight="1" x14ac:dyDescent="0.3">
      <c r="B32" s="171"/>
      <c r="D32" s="173"/>
      <c r="E32" s="167" t="s">
        <v>1421</v>
      </c>
      <c r="F32" s="59" t="s">
        <v>1431</v>
      </c>
      <c r="G32" s="19" t="s">
        <v>453</v>
      </c>
      <c r="H32" s="108" t="str">
        <f>IF('Practices and Requirements'!E307="False","Not implemented","Implemented")</f>
        <v>Implemented</v>
      </c>
      <c r="I32" s="10">
        <f>'Practices and Requirements'!G308</f>
        <v>0</v>
      </c>
      <c r="J32" s="10">
        <f>'Practices and Requirements'!G311</f>
        <v>0</v>
      </c>
      <c r="K32" s="10">
        <f>'Practices and Requirements'!G314</f>
        <v>0</v>
      </c>
      <c r="L32" s="10">
        <f>'Practices and Requirements'!G317</f>
        <v>0</v>
      </c>
      <c r="M32" s="114">
        <f t="shared" si="1"/>
        <v>0</v>
      </c>
      <c r="N32" s="198">
        <f>AVERAGE(M32:M36)</f>
        <v>0</v>
      </c>
      <c r="O32" s="199"/>
    </row>
    <row r="33" spans="2:20" ht="21" customHeight="1" x14ac:dyDescent="0.3">
      <c r="B33" s="171"/>
      <c r="D33" s="173"/>
      <c r="E33" s="167"/>
      <c r="F33" s="59" t="s">
        <v>1397</v>
      </c>
      <c r="G33" s="19" t="s">
        <v>454</v>
      </c>
      <c r="H33" s="108" t="str">
        <f>IF('Practices and Requirements'!E318="False","Not implemented","Implemented")</f>
        <v>Implemented</v>
      </c>
      <c r="I33" s="10">
        <f>'Practices and Requirements'!G319</f>
        <v>0</v>
      </c>
      <c r="J33" s="10">
        <f>'Practices and Requirements'!G321</f>
        <v>0</v>
      </c>
      <c r="K33" s="10">
        <f>'Practices and Requirements'!G324</f>
        <v>0</v>
      </c>
      <c r="L33" s="10">
        <f>'Practices and Requirements'!G327</f>
        <v>0</v>
      </c>
      <c r="M33" s="114">
        <f t="shared" si="1"/>
        <v>0</v>
      </c>
      <c r="N33" s="198"/>
      <c r="O33" s="199"/>
      <c r="R33" s="2"/>
      <c r="S33" s="2"/>
      <c r="T33" s="2"/>
    </row>
    <row r="34" spans="2:20" ht="21" customHeight="1" x14ac:dyDescent="0.3">
      <c r="B34" s="171"/>
      <c r="D34" s="173"/>
      <c r="E34" s="167"/>
      <c r="F34" s="59" t="s">
        <v>1398</v>
      </c>
      <c r="G34" s="19" t="s">
        <v>455</v>
      </c>
      <c r="H34" s="108" t="str">
        <f>IF('Practices and Requirements'!E328="False","Not implemented","Implemented")</f>
        <v>Implemented</v>
      </c>
      <c r="I34" s="10">
        <f>'Practices and Requirements'!G329</f>
        <v>0</v>
      </c>
      <c r="J34" s="10">
        <f>'Practices and Requirements'!G330</f>
        <v>0</v>
      </c>
      <c r="K34" s="10">
        <f>'Practices and Requirements'!G331</f>
        <v>0</v>
      </c>
      <c r="L34" s="10">
        <f>'Practices and Requirements'!G332</f>
        <v>0</v>
      </c>
      <c r="M34" s="114">
        <f t="shared" si="1"/>
        <v>0</v>
      </c>
      <c r="N34" s="198"/>
      <c r="O34" s="199"/>
      <c r="R34" s="2"/>
      <c r="S34" s="2"/>
      <c r="T34" s="2"/>
    </row>
    <row r="35" spans="2:20" ht="21" customHeight="1" x14ac:dyDescent="0.3">
      <c r="B35" s="171"/>
      <c r="D35" s="173"/>
      <c r="E35" s="167"/>
      <c r="F35" s="59" t="s">
        <v>1432</v>
      </c>
      <c r="G35" s="19" t="s">
        <v>456</v>
      </c>
      <c r="H35" s="108" t="str">
        <f>IF('Practices and Requirements'!E333="False","Not implemented","Implemented")</f>
        <v>Implemented</v>
      </c>
      <c r="I35" s="10">
        <f>'Practices and Requirements'!G334</f>
        <v>0</v>
      </c>
      <c r="J35" s="10">
        <f>'Practices and Requirements'!G336</f>
        <v>0</v>
      </c>
      <c r="K35" s="10">
        <f>'Practices and Requirements'!G337</f>
        <v>0</v>
      </c>
      <c r="L35" s="10">
        <f>'Practices and Requirements'!G339</f>
        <v>0</v>
      </c>
      <c r="M35" s="114">
        <f t="shared" si="1"/>
        <v>0</v>
      </c>
      <c r="N35" s="198"/>
      <c r="O35" s="199"/>
      <c r="R35" s="2"/>
      <c r="S35" s="2"/>
      <c r="T35" s="2"/>
    </row>
    <row r="36" spans="2:20" ht="21" customHeight="1" x14ac:dyDescent="0.3">
      <c r="B36" s="171"/>
      <c r="D36" s="173"/>
      <c r="E36" s="167"/>
      <c r="F36" s="59" t="s">
        <v>1399</v>
      </c>
      <c r="G36" s="19" t="s">
        <v>457</v>
      </c>
      <c r="H36" s="108" t="str">
        <f>IF('Practices and Requirements'!E340="False","Not implemented","Implemented")</f>
        <v>Implemented</v>
      </c>
      <c r="I36" s="10">
        <f>'Practices and Requirements'!G341</f>
        <v>0</v>
      </c>
      <c r="J36" s="10">
        <f>'Practices and Requirements'!G343</f>
        <v>0</v>
      </c>
      <c r="K36" s="10">
        <f>'Practices and Requirements'!G345</f>
        <v>0</v>
      </c>
      <c r="L36" s="10">
        <f>'Practices and Requirements'!G348</f>
        <v>0</v>
      </c>
      <c r="M36" s="114">
        <f t="shared" si="1"/>
        <v>0</v>
      </c>
      <c r="N36" s="198"/>
      <c r="O36" s="199"/>
      <c r="R36" s="2"/>
      <c r="S36" s="2"/>
      <c r="T36" s="2"/>
    </row>
    <row r="37" spans="2:20" ht="21" customHeight="1" x14ac:dyDescent="0.3">
      <c r="B37" s="171"/>
      <c r="D37" s="173"/>
      <c r="E37" s="167" t="s">
        <v>1422</v>
      </c>
      <c r="F37" s="59" t="s">
        <v>1400</v>
      </c>
      <c r="G37" s="19" t="s">
        <v>458</v>
      </c>
      <c r="H37" s="108" t="str">
        <f>IF('Practices and Requirements'!E351="False","Not implemented","Implemented")</f>
        <v>Implemented</v>
      </c>
      <c r="I37" s="10">
        <f>'Practices and Requirements'!G352</f>
        <v>0</v>
      </c>
      <c r="J37" s="10">
        <f>'Practices and Requirements'!G353</f>
        <v>0</v>
      </c>
      <c r="K37" s="10">
        <f>'Practices and Requirements'!G355</f>
        <v>0</v>
      </c>
      <c r="L37" s="10">
        <f>'Practices and Requirements'!G358</f>
        <v>0</v>
      </c>
      <c r="M37" s="114">
        <f t="shared" si="1"/>
        <v>0</v>
      </c>
      <c r="N37" s="198">
        <f>AVERAGE(M37:M40)</f>
        <v>0</v>
      </c>
      <c r="O37" s="199"/>
      <c r="R37" s="2"/>
      <c r="S37" s="2"/>
      <c r="T37" s="2"/>
    </row>
    <row r="38" spans="2:20" ht="21" customHeight="1" x14ac:dyDescent="0.3">
      <c r="B38" s="171"/>
      <c r="D38" s="173"/>
      <c r="E38" s="167"/>
      <c r="F38" s="59" t="s">
        <v>1401</v>
      </c>
      <c r="G38" s="19" t="s">
        <v>459</v>
      </c>
      <c r="H38" s="108" t="str">
        <f>IF('Practices and Requirements'!E359="False","Not implemented","Implemented")</f>
        <v>Implemented</v>
      </c>
      <c r="I38" s="10">
        <f>'Practices and Requirements'!G360</f>
        <v>0</v>
      </c>
      <c r="J38" s="10">
        <f>'Practices and Requirements'!G362</f>
        <v>0</v>
      </c>
      <c r="K38" s="10">
        <f>'Practices and Requirements'!G363</f>
        <v>0</v>
      </c>
      <c r="L38" s="10">
        <f>'Practices and Requirements'!G366</f>
        <v>0</v>
      </c>
      <c r="M38" s="114">
        <f t="shared" si="1"/>
        <v>0</v>
      </c>
      <c r="N38" s="198"/>
      <c r="O38" s="199"/>
      <c r="R38" s="2"/>
      <c r="S38" s="2"/>
      <c r="T38" s="2"/>
    </row>
    <row r="39" spans="2:20" ht="21" customHeight="1" x14ac:dyDescent="0.3">
      <c r="B39" s="171"/>
      <c r="D39" s="173"/>
      <c r="E39" s="168" t="s">
        <v>1423</v>
      </c>
      <c r="F39" s="59" t="s">
        <v>1402</v>
      </c>
      <c r="G39" s="19" t="s">
        <v>460</v>
      </c>
      <c r="H39" s="108" t="str">
        <f>IF('Practices and Requirements'!E369="False","Not implemented","Implemented")</f>
        <v>Implemented</v>
      </c>
      <c r="I39" s="10"/>
      <c r="J39" s="10">
        <f>'Practices and Requirements'!G370</f>
        <v>0</v>
      </c>
      <c r="K39" s="10">
        <f>'Practices and Requirements'!G372</f>
        <v>0</v>
      </c>
      <c r="L39" s="10"/>
      <c r="M39" s="114">
        <f>SUM(J39:K39)/2</f>
        <v>0</v>
      </c>
      <c r="N39" s="198"/>
      <c r="O39" s="199"/>
      <c r="R39" s="2"/>
      <c r="S39" s="2"/>
      <c r="T39" s="2"/>
    </row>
    <row r="40" spans="2:20" ht="21" customHeight="1" x14ac:dyDescent="0.3">
      <c r="B40" s="171"/>
      <c r="D40" s="173"/>
      <c r="E40" s="169"/>
      <c r="F40" s="59" t="s">
        <v>1403</v>
      </c>
      <c r="G40" s="19" t="s">
        <v>461</v>
      </c>
      <c r="H40" s="108" t="str">
        <f>IF('Practices and Requirements'!E374="False","Not implemented","Implemented")</f>
        <v>Implemented</v>
      </c>
      <c r="I40" s="10"/>
      <c r="J40" s="10">
        <f>'Practices and Requirements'!G375</f>
        <v>0</v>
      </c>
      <c r="K40" s="10">
        <f>'Practices and Requirements'!G377</f>
        <v>0</v>
      </c>
      <c r="L40" s="10">
        <f>'Practices and Requirements'!G380</f>
        <v>0</v>
      </c>
      <c r="M40" s="114">
        <f>SUM(J40:L40)/3</f>
        <v>0</v>
      </c>
      <c r="N40" s="198"/>
      <c r="O40" s="199"/>
    </row>
    <row r="41" spans="2:20" ht="21" customHeight="1" x14ac:dyDescent="0.3">
      <c r="B41" s="171"/>
      <c r="D41" s="173"/>
      <c r="E41" s="167" t="s">
        <v>1424</v>
      </c>
      <c r="F41" s="59" t="s">
        <v>463</v>
      </c>
      <c r="G41" s="19" t="s">
        <v>462</v>
      </c>
      <c r="H41" s="108" t="str">
        <f>IF('Practices and Requirements'!E383="False","Not implemented","Implemented")</f>
        <v>Implemented</v>
      </c>
      <c r="I41" s="10">
        <f>'Practices and Requirements'!G384</f>
        <v>0</v>
      </c>
      <c r="J41" s="10">
        <f>'Practices and Requirements'!G385</f>
        <v>0</v>
      </c>
      <c r="K41" s="10">
        <f>'Practices and Requirements'!G387</f>
        <v>0</v>
      </c>
      <c r="L41" s="10">
        <f>'Practices and Requirements'!G391</f>
        <v>0</v>
      </c>
      <c r="M41" s="114">
        <f>SUM(I41:L41)/4</f>
        <v>0</v>
      </c>
      <c r="N41" s="198">
        <f>AVERAGE(M41:M42)</f>
        <v>0</v>
      </c>
      <c r="O41" s="199"/>
    </row>
    <row r="42" spans="2:20" ht="21" customHeight="1" thickBot="1" x14ac:dyDescent="0.35">
      <c r="B42" s="171"/>
      <c r="D42" s="176"/>
      <c r="E42" s="180"/>
      <c r="F42" s="95" t="s">
        <v>1404</v>
      </c>
      <c r="G42" s="20" t="s">
        <v>464</v>
      </c>
      <c r="H42" s="109" t="str">
        <f>IF('Practices and Requirements'!E395="False","Not implemented","Implemented")</f>
        <v>Implemented</v>
      </c>
      <c r="I42" s="21">
        <f>'Practices and Requirements'!G396</f>
        <v>0</v>
      </c>
      <c r="J42" s="21">
        <f>'Practices and Requirements'!G398</f>
        <v>0</v>
      </c>
      <c r="K42" s="21">
        <f>'Practices and Requirements'!G402</f>
        <v>0</v>
      </c>
      <c r="L42" s="21"/>
      <c r="M42" s="115">
        <f>SUM(I42:K42)/3</f>
        <v>0</v>
      </c>
      <c r="N42" s="201"/>
      <c r="O42" s="200"/>
    </row>
  </sheetData>
  <mergeCells count="30">
    <mergeCell ref="Q1:T1"/>
    <mergeCell ref="Q2:R2"/>
    <mergeCell ref="T3:T10"/>
    <mergeCell ref="V4:X10"/>
    <mergeCell ref="N3:N4"/>
    <mergeCell ref="O3:O42"/>
    <mergeCell ref="N5:N10"/>
    <mergeCell ref="N11:N16"/>
    <mergeCell ref="N17:N21"/>
    <mergeCell ref="N22:N29"/>
    <mergeCell ref="N30:N31"/>
    <mergeCell ref="N32:N36"/>
    <mergeCell ref="N37:N40"/>
    <mergeCell ref="N41:N42"/>
    <mergeCell ref="V2:X2"/>
    <mergeCell ref="D1:E1"/>
    <mergeCell ref="E37:E38"/>
    <mergeCell ref="E39:E40"/>
    <mergeCell ref="B3:B29"/>
    <mergeCell ref="B30:B42"/>
    <mergeCell ref="D3:D29"/>
    <mergeCell ref="D30:D42"/>
    <mergeCell ref="E3:E4"/>
    <mergeCell ref="E5:E10"/>
    <mergeCell ref="E17:E21"/>
    <mergeCell ref="E22:E29"/>
    <mergeCell ref="E30:E31"/>
    <mergeCell ref="E32:E36"/>
    <mergeCell ref="E41:E42"/>
    <mergeCell ref="E11:E16"/>
  </mergeCells>
  <conditionalFormatting sqref="I3:N4">
    <cfRule type="colorScale" priority="11">
      <colorScale>
        <cfvo type="min"/>
        <cfvo type="percentile" val="50"/>
        <cfvo type="num" val="1"/>
        <color rgb="FFFF8181"/>
        <color rgb="FFFFEB84"/>
        <color rgb="FF63BE7B"/>
      </colorScale>
    </cfRule>
  </conditionalFormatting>
  <conditionalFormatting sqref="I5:N5 I6:M10">
    <cfRule type="colorScale" priority="10">
      <colorScale>
        <cfvo type="min"/>
        <cfvo type="percentile" val="50"/>
        <cfvo type="num" val="1"/>
        <color rgb="FFFF8181"/>
        <color rgb="FFFFEB84"/>
        <color rgb="FF63BE7B"/>
      </colorScale>
    </cfRule>
  </conditionalFormatting>
  <conditionalFormatting sqref="I11:N11 I12:M16">
    <cfRule type="colorScale" priority="9">
      <colorScale>
        <cfvo type="min"/>
        <cfvo type="percentile" val="50"/>
        <cfvo type="num" val="1"/>
        <color rgb="FFFF8181"/>
        <color rgb="FFFFEB84"/>
        <color rgb="FF63BE7B"/>
      </colorScale>
    </cfRule>
  </conditionalFormatting>
  <conditionalFormatting sqref="I17:N17 I18:M21">
    <cfRule type="colorScale" priority="8">
      <colorScale>
        <cfvo type="min"/>
        <cfvo type="percentile" val="50"/>
        <cfvo type="num" val="1"/>
        <color rgb="FFFF8181"/>
        <color rgb="FFFFEB84"/>
        <color rgb="FF63BE7B"/>
      </colorScale>
    </cfRule>
  </conditionalFormatting>
  <conditionalFormatting sqref="I22:N22 I23:M29">
    <cfRule type="colorScale" priority="7">
      <colorScale>
        <cfvo type="min"/>
        <cfvo type="percentile" val="50"/>
        <cfvo type="num" val="1"/>
        <color rgb="FFFF8181"/>
        <color rgb="FFFFEB84"/>
        <color rgb="FF63BE7B"/>
      </colorScale>
    </cfRule>
  </conditionalFormatting>
  <conditionalFormatting sqref="I30:N30 I31:M31">
    <cfRule type="colorScale" priority="6">
      <colorScale>
        <cfvo type="min"/>
        <cfvo type="percentile" val="50"/>
        <cfvo type="num" val="1"/>
        <color rgb="FFFF8181"/>
        <color rgb="FFFFEB84"/>
        <color rgb="FF63BE7B"/>
      </colorScale>
    </cfRule>
  </conditionalFormatting>
  <conditionalFormatting sqref="I32:N32 I33:M36">
    <cfRule type="colorScale" priority="5">
      <colorScale>
        <cfvo type="min"/>
        <cfvo type="percentile" val="50"/>
        <cfvo type="num" val="1"/>
        <color rgb="FFFF8181"/>
        <color rgb="FFFFEB84"/>
        <color rgb="FF63BE7B"/>
      </colorScale>
    </cfRule>
  </conditionalFormatting>
  <conditionalFormatting sqref="I37:N37 I38:M40">
    <cfRule type="colorScale" priority="4">
      <colorScale>
        <cfvo type="min"/>
        <cfvo type="percentile" val="50"/>
        <cfvo type="num" val="1"/>
        <color rgb="FFFF8181"/>
        <color rgb="FFFFEB84"/>
        <color rgb="FF63BE7B"/>
      </colorScale>
    </cfRule>
  </conditionalFormatting>
  <conditionalFormatting sqref="I41:N41 I42:M42">
    <cfRule type="colorScale" priority="3">
      <colorScale>
        <cfvo type="min"/>
        <cfvo type="percentile" val="50"/>
        <cfvo type="num" val="1"/>
        <color rgb="FFFF8181"/>
        <color rgb="FFFFEB84"/>
        <color rgb="FF63BE7B"/>
      </colorScale>
    </cfRule>
  </conditionalFormatting>
  <conditionalFormatting sqref="O3:O42">
    <cfRule type="colorScale" priority="2">
      <colorScale>
        <cfvo type="min"/>
        <cfvo type="percentile" val="50"/>
        <cfvo type="num" val="1"/>
        <color rgb="FFFF8181"/>
        <color rgb="FFFFEB84"/>
        <color rgb="FF92D050"/>
      </colorScale>
    </cfRule>
  </conditionalFormatting>
  <conditionalFormatting sqref="S3:S10">
    <cfRule type="colorScale" priority="12">
      <colorScale>
        <cfvo type="min"/>
        <cfvo type="percentile" val="50"/>
        <cfvo type="num" val="1"/>
        <color rgb="FFFF8181"/>
        <color rgb="FFFFEB84"/>
        <color rgb="FF63BE7B"/>
      </colorScale>
    </cfRule>
  </conditionalFormatting>
  <conditionalFormatting sqref="Y4:Y10">
    <cfRule type="colorScale" priority="1">
      <colorScale>
        <cfvo type="min"/>
        <cfvo type="percentile" val="50"/>
        <cfvo type="num" val="7"/>
        <color rgb="FFF8696B"/>
        <color rgb="FFFFEB84"/>
        <color rgb="FF63BE7B"/>
      </colorScale>
    </cfRule>
  </conditionalFormatting>
  <hyperlinks>
    <hyperlink ref="Q1:T1" r:id="rId1" display="The guidance on completing the form are available in our GitHub repository" xr:uid="{00000000-0004-0000-0100-000000000000}"/>
  </hyperlinks>
  <pageMargins left="0.7" right="0.7" top="0.75" bottom="0.75" header="0.3" footer="0.3"/>
  <pageSetup paperSize="9" orientation="portrait" r:id="rId2"/>
  <ignoredErrors>
    <ignoredError sqref="M5" formula="1"/>
  </ignoredError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tabColor rgb="FF92D050"/>
  </sheetPr>
  <dimension ref="B1:Z527"/>
  <sheetViews>
    <sheetView tabSelected="1" zoomScale="70" zoomScaleNormal="70" workbookViewId="0">
      <pane xSplit="4" ySplit="2" topLeftCell="E245" activePane="bottomRight" state="frozen"/>
      <selection pane="topRight" activeCell="C1" sqref="C1"/>
      <selection pane="bottomLeft" activeCell="A2" sqref="A2"/>
      <selection pane="bottomRight" activeCell="D270" sqref="D270"/>
    </sheetView>
  </sheetViews>
  <sheetFormatPr defaultColWidth="8.42578125" defaultRowHeight="16.5" outlineLevelRow="2" x14ac:dyDescent="0.3"/>
  <cols>
    <col min="1" max="1" width="2" style="26" customWidth="1"/>
    <col min="2" max="2" width="20" style="41" customWidth="1"/>
    <col min="3" max="3" width="24.28515625" style="40" bestFit="1" customWidth="1"/>
    <col min="4" max="4" width="133.42578125" style="40" customWidth="1"/>
    <col min="5" max="5" width="17.42578125" style="25" customWidth="1"/>
    <col min="6" max="6" width="14" style="43" customWidth="1"/>
    <col min="7" max="7" width="17" style="44" customWidth="1"/>
    <col min="8" max="8" width="19" style="44" customWidth="1"/>
    <col min="9" max="9" width="15.42578125" style="43" bestFit="1" customWidth="1"/>
    <col min="10" max="12" width="11.42578125" style="48" customWidth="1"/>
    <col min="13" max="13" width="38.42578125" style="40" customWidth="1"/>
    <col min="14" max="16384" width="8.42578125" style="26"/>
  </cols>
  <sheetData>
    <row r="1" spans="2:26" s="7" customFormat="1" ht="53.45" customHeight="1" thickBot="1" x14ac:dyDescent="0.35">
      <c r="B1" s="1"/>
      <c r="C1" s="2"/>
      <c r="D1" s="153"/>
      <c r="E1" s="225" t="s">
        <v>2073</v>
      </c>
      <c r="F1" s="225"/>
      <c r="G1" s="225"/>
      <c r="H1" s="225"/>
      <c r="I1" s="225"/>
      <c r="J1" s="225"/>
      <c r="K1" s="225"/>
      <c r="L1" s="225"/>
      <c r="M1" s="225"/>
      <c r="N1" s="5"/>
      <c r="O1" s="5"/>
      <c r="P1" s="6"/>
      <c r="Q1" s="5"/>
      <c r="R1" s="5"/>
      <c r="S1" s="5"/>
      <c r="T1" s="5"/>
      <c r="U1" s="2"/>
      <c r="V1" s="2"/>
      <c r="W1" s="2"/>
      <c r="X1" s="2"/>
      <c r="Y1" s="2"/>
      <c r="Z1" s="2"/>
    </row>
    <row r="2" spans="2:26" s="25" customFormat="1" ht="58.9" customHeight="1" thickBot="1" x14ac:dyDescent="0.3">
      <c r="B2" s="164" t="s">
        <v>1371</v>
      </c>
      <c r="C2" s="164" t="s">
        <v>0</v>
      </c>
      <c r="D2" s="164" t="s">
        <v>1372</v>
      </c>
      <c r="E2" s="164" t="s">
        <v>1438</v>
      </c>
      <c r="F2" s="164" t="s">
        <v>1439</v>
      </c>
      <c r="G2" s="165" t="s">
        <v>1440</v>
      </c>
      <c r="H2" s="164" t="s">
        <v>1373</v>
      </c>
      <c r="I2" s="164" t="s">
        <v>1407</v>
      </c>
      <c r="J2" s="164" t="s">
        <v>878</v>
      </c>
      <c r="K2" s="164" t="s">
        <v>1</v>
      </c>
      <c r="L2" s="164" t="s">
        <v>877</v>
      </c>
      <c r="M2" s="164" t="s">
        <v>2070</v>
      </c>
    </row>
    <row r="3" spans="2:26" ht="33" customHeight="1" x14ac:dyDescent="0.3">
      <c r="B3" s="211" t="s">
        <v>2077</v>
      </c>
      <c r="C3" s="212"/>
      <c r="D3" s="212"/>
      <c r="E3" s="212"/>
      <c r="F3" s="212"/>
      <c r="G3" s="207"/>
      <c r="H3" s="212"/>
      <c r="I3" s="212"/>
      <c r="J3" s="212"/>
      <c r="K3" s="212"/>
      <c r="L3" s="212"/>
      <c r="M3" s="213"/>
    </row>
    <row r="4" spans="2:26" ht="33" customHeight="1" outlineLevel="1" x14ac:dyDescent="0.3">
      <c r="B4" s="220" t="str">
        <f>'Assesment outcomes'!F3</f>
        <v>Management and control of external component usage</v>
      </c>
      <c r="C4" s="27" t="s">
        <v>2</v>
      </c>
      <c r="D4" s="27" t="s">
        <v>2038</v>
      </c>
      <c r="E4" s="28" t="s">
        <v>2074</v>
      </c>
      <c r="F4" s="91">
        <v>0</v>
      </c>
      <c r="G4" s="79">
        <f>(COUNTIF(E4:E4,$F$406))/COUNTA(E4:E4)</f>
        <v>0</v>
      </c>
      <c r="H4" s="210">
        <f>SUM(G5:G16)/4</f>
        <v>0</v>
      </c>
      <c r="I4" s="91">
        <v>0</v>
      </c>
      <c r="J4" s="30"/>
      <c r="K4" s="30" t="s">
        <v>1303</v>
      </c>
      <c r="L4" s="30" t="s">
        <v>13</v>
      </c>
      <c r="M4" s="125"/>
    </row>
    <row r="5" spans="2:26" ht="33" customHeight="1" outlineLevel="2" x14ac:dyDescent="0.3">
      <c r="B5" s="220"/>
      <c r="C5" s="27" t="s">
        <v>3</v>
      </c>
      <c r="D5" s="27" t="s">
        <v>1443</v>
      </c>
      <c r="E5" s="28" t="s">
        <v>2074</v>
      </c>
      <c r="F5" s="206">
        <v>1</v>
      </c>
      <c r="G5" s="210">
        <f>(COUNTIF(E5:E9,$F$411)+(COUNTIF(E5:E9,$F$410)*0.5))/(COUNTA(E5:E9)-COUNTIF(E5:E9,$F$412))</f>
        <v>0</v>
      </c>
      <c r="H5" s="210"/>
      <c r="I5" s="91">
        <v>2</v>
      </c>
      <c r="J5" s="30"/>
      <c r="K5" s="30"/>
      <c r="L5" s="30" t="s">
        <v>4</v>
      </c>
      <c r="M5" s="126"/>
    </row>
    <row r="6" spans="2:26" ht="33" customHeight="1" outlineLevel="2" x14ac:dyDescent="0.3">
      <c r="B6" s="220"/>
      <c r="C6" s="27" t="s">
        <v>5</v>
      </c>
      <c r="D6" s="27" t="s">
        <v>2034</v>
      </c>
      <c r="E6" s="28" t="s">
        <v>2074</v>
      </c>
      <c r="F6" s="206"/>
      <c r="G6" s="210"/>
      <c r="H6" s="210"/>
      <c r="I6" s="91">
        <v>2</v>
      </c>
      <c r="J6" s="30"/>
      <c r="K6" s="30" t="s">
        <v>87</v>
      </c>
      <c r="L6" s="30" t="s">
        <v>696</v>
      </c>
      <c r="M6" s="126"/>
    </row>
    <row r="7" spans="2:26" ht="33" customHeight="1" outlineLevel="2" x14ac:dyDescent="0.3">
      <c r="B7" s="220"/>
      <c r="C7" s="27" t="s">
        <v>6</v>
      </c>
      <c r="D7" s="27" t="s">
        <v>1444</v>
      </c>
      <c r="E7" s="28" t="s">
        <v>2074</v>
      </c>
      <c r="F7" s="206"/>
      <c r="G7" s="210"/>
      <c r="H7" s="210"/>
      <c r="I7" s="91">
        <v>2</v>
      </c>
      <c r="J7" s="30" t="s">
        <v>7</v>
      </c>
      <c r="K7" s="30"/>
      <c r="L7" s="30"/>
      <c r="M7" s="126"/>
    </row>
    <row r="8" spans="2:26" ht="33" customHeight="1" outlineLevel="2" x14ac:dyDescent="0.3">
      <c r="B8" s="220"/>
      <c r="C8" s="27" t="s">
        <v>8</v>
      </c>
      <c r="D8" s="27" t="s">
        <v>1445</v>
      </c>
      <c r="E8" s="28" t="s">
        <v>2074</v>
      </c>
      <c r="F8" s="206"/>
      <c r="G8" s="210"/>
      <c r="H8" s="210"/>
      <c r="I8" s="91">
        <v>2</v>
      </c>
      <c r="J8" s="30"/>
      <c r="K8" s="30" t="s">
        <v>1304</v>
      </c>
      <c r="L8" s="30" t="s">
        <v>697</v>
      </c>
      <c r="M8" s="126"/>
    </row>
    <row r="9" spans="2:26" ht="33" customHeight="1" outlineLevel="2" x14ac:dyDescent="0.3">
      <c r="B9" s="220"/>
      <c r="C9" s="27" t="s">
        <v>9</v>
      </c>
      <c r="D9" s="27" t="s">
        <v>1446</v>
      </c>
      <c r="E9" s="28" t="s">
        <v>2074</v>
      </c>
      <c r="F9" s="206"/>
      <c r="G9" s="210"/>
      <c r="H9" s="210"/>
      <c r="I9" s="91">
        <v>2</v>
      </c>
      <c r="J9" s="30"/>
      <c r="K9" s="30"/>
      <c r="L9" s="30" t="s">
        <v>411</v>
      </c>
      <c r="M9" s="126"/>
    </row>
    <row r="10" spans="2:26" ht="33" customHeight="1" outlineLevel="2" x14ac:dyDescent="0.3">
      <c r="B10" s="220"/>
      <c r="C10" s="27" t="s">
        <v>10</v>
      </c>
      <c r="D10" s="27" t="s">
        <v>1447</v>
      </c>
      <c r="E10" s="28" t="s">
        <v>2074</v>
      </c>
      <c r="F10" s="206">
        <v>2</v>
      </c>
      <c r="G10" s="210">
        <f>(COUNTIF(E10:E11,$F$411)+(COUNTIF(E10:E11,$F$410)*0.5))/(COUNTA(E10:E11)-COUNTIF(E10:E11,$F$412))</f>
        <v>0</v>
      </c>
      <c r="H10" s="210"/>
      <c r="I10" s="91">
        <v>3</v>
      </c>
      <c r="J10" s="30" t="s">
        <v>7</v>
      </c>
      <c r="K10" s="30"/>
      <c r="L10" s="30"/>
      <c r="M10" s="126"/>
    </row>
    <row r="11" spans="2:26" ht="33" customHeight="1" outlineLevel="2" x14ac:dyDescent="0.3">
      <c r="B11" s="220"/>
      <c r="C11" s="27" t="s">
        <v>11</v>
      </c>
      <c r="D11" s="27" t="s">
        <v>1448</v>
      </c>
      <c r="E11" s="28" t="s">
        <v>2074</v>
      </c>
      <c r="F11" s="206"/>
      <c r="G11" s="210"/>
      <c r="H11" s="210"/>
      <c r="I11" s="91">
        <v>3</v>
      </c>
      <c r="J11" s="30"/>
      <c r="K11" s="30"/>
      <c r="L11" s="30" t="s">
        <v>904</v>
      </c>
      <c r="M11" s="126"/>
    </row>
    <row r="12" spans="2:26" ht="33" customHeight="1" outlineLevel="2" x14ac:dyDescent="0.3">
      <c r="B12" s="220"/>
      <c r="C12" s="27" t="s">
        <v>12</v>
      </c>
      <c r="D12" s="27" t="s">
        <v>1449</v>
      </c>
      <c r="E12" s="28" t="s">
        <v>2074</v>
      </c>
      <c r="F12" s="206">
        <v>3</v>
      </c>
      <c r="G12" s="210">
        <f>(COUNTIF(E12:E14,$F$411)+(COUNTIF(E12:E14,$F$410)*0.5))/(COUNTA(E12:E14)-COUNTIF(E12:E14,$F$412))</f>
        <v>0</v>
      </c>
      <c r="H12" s="210"/>
      <c r="I12" s="91">
        <v>4</v>
      </c>
      <c r="J12" s="30" t="s">
        <v>654</v>
      </c>
      <c r="K12" s="30"/>
      <c r="L12" s="32" t="s">
        <v>13</v>
      </c>
      <c r="M12" s="126"/>
    </row>
    <row r="13" spans="2:26" ht="33" customHeight="1" outlineLevel="2" x14ac:dyDescent="0.3">
      <c r="B13" s="220"/>
      <c r="C13" s="27" t="s">
        <v>14</v>
      </c>
      <c r="D13" s="27" t="s">
        <v>1450</v>
      </c>
      <c r="E13" s="28" t="s">
        <v>2074</v>
      </c>
      <c r="F13" s="206"/>
      <c r="G13" s="210"/>
      <c r="H13" s="210"/>
      <c r="I13" s="91">
        <v>4</v>
      </c>
      <c r="J13" s="30"/>
      <c r="K13" s="30"/>
      <c r="L13" s="32"/>
      <c r="M13" s="126"/>
    </row>
    <row r="14" spans="2:26" ht="33" customHeight="1" outlineLevel="2" x14ac:dyDescent="0.3">
      <c r="B14" s="220"/>
      <c r="C14" s="27" t="s">
        <v>15</v>
      </c>
      <c r="D14" s="27" t="s">
        <v>2035</v>
      </c>
      <c r="E14" s="28" t="s">
        <v>2074</v>
      </c>
      <c r="F14" s="206"/>
      <c r="G14" s="210"/>
      <c r="H14" s="210"/>
      <c r="I14" s="91">
        <v>4</v>
      </c>
      <c r="J14" s="30"/>
      <c r="K14" s="30" t="s">
        <v>82</v>
      </c>
      <c r="L14" s="30"/>
      <c r="M14" s="126"/>
    </row>
    <row r="15" spans="2:26" ht="33" customHeight="1" outlineLevel="2" x14ac:dyDescent="0.3">
      <c r="B15" s="220"/>
      <c r="C15" s="27" t="s">
        <v>16</v>
      </c>
      <c r="D15" s="27" t="s">
        <v>2036</v>
      </c>
      <c r="E15" s="28" t="s">
        <v>2074</v>
      </c>
      <c r="F15" s="206">
        <v>4</v>
      </c>
      <c r="G15" s="210">
        <f>(COUNTIF(E15:E16,$F$411)+(COUNTIF(E15:E16,$F$410)*0.5))/(COUNTA(E15:E16)-COUNTIF(E15:E16,$F$412))</f>
        <v>0</v>
      </c>
      <c r="H15" s="210"/>
      <c r="I15" s="91">
        <v>6</v>
      </c>
      <c r="J15" s="30"/>
      <c r="K15" s="30"/>
      <c r="L15" s="30"/>
      <c r="M15" s="126"/>
    </row>
    <row r="16" spans="2:26" ht="33" customHeight="1" outlineLevel="2" x14ac:dyDescent="0.3">
      <c r="B16" s="220"/>
      <c r="C16" s="27" t="s">
        <v>17</v>
      </c>
      <c r="D16" s="27" t="s">
        <v>1451</v>
      </c>
      <c r="E16" s="28" t="s">
        <v>2074</v>
      </c>
      <c r="F16" s="206"/>
      <c r="G16" s="210"/>
      <c r="H16" s="210"/>
      <c r="I16" s="91">
        <v>6</v>
      </c>
      <c r="J16" s="30"/>
      <c r="K16" s="30"/>
      <c r="L16" s="30"/>
      <c r="M16" s="126"/>
    </row>
    <row r="17" spans="2:13" ht="33" customHeight="1" outlineLevel="1" x14ac:dyDescent="0.3">
      <c r="B17" s="220" t="str">
        <f>'Assesment outcomes'!F4</f>
        <v>Management and control of application development artifacts</v>
      </c>
      <c r="C17" s="27" t="s">
        <v>18</v>
      </c>
      <c r="D17" s="27" t="s">
        <v>2037</v>
      </c>
      <c r="E17" s="28" t="s">
        <v>2074</v>
      </c>
      <c r="F17" s="91">
        <v>0</v>
      </c>
      <c r="G17" s="79">
        <f>(COUNTIF(E17:E17,$F$406))/COUNTA(E17:E17)</f>
        <v>0</v>
      </c>
      <c r="H17" s="210">
        <f>SUM(G18:G30)/4</f>
        <v>0</v>
      </c>
      <c r="I17" s="91">
        <v>0</v>
      </c>
      <c r="J17" s="30"/>
      <c r="K17" s="30"/>
      <c r="L17" s="30" t="s">
        <v>412</v>
      </c>
      <c r="M17" s="126"/>
    </row>
    <row r="18" spans="2:13" ht="33" customHeight="1" outlineLevel="2" x14ac:dyDescent="0.3">
      <c r="B18" s="220"/>
      <c r="C18" s="27" t="s">
        <v>19</v>
      </c>
      <c r="D18" s="27" t="s">
        <v>1452</v>
      </c>
      <c r="E18" s="28" t="s">
        <v>2074</v>
      </c>
      <c r="F18" s="206">
        <v>1</v>
      </c>
      <c r="G18" s="210">
        <f>(COUNTIF(E18:E22,$F$411)+(COUNTIF(E18:E22,$F$410)*0.5))/(COUNTA(E18:E22)-COUNTIF(E18:E22,$F$412))</f>
        <v>0</v>
      </c>
      <c r="H18" s="210"/>
      <c r="I18" s="91">
        <v>1</v>
      </c>
      <c r="J18" s="30"/>
      <c r="K18" s="30"/>
      <c r="L18" s="30"/>
      <c r="M18" s="126"/>
    </row>
    <row r="19" spans="2:13" ht="33" customHeight="1" outlineLevel="2" x14ac:dyDescent="0.3">
      <c r="B19" s="220"/>
      <c r="C19" s="27" t="s">
        <v>20</v>
      </c>
      <c r="D19" s="27" t="s">
        <v>1453</v>
      </c>
      <c r="E19" s="28" t="s">
        <v>2074</v>
      </c>
      <c r="F19" s="206"/>
      <c r="G19" s="210"/>
      <c r="H19" s="210"/>
      <c r="I19" s="91">
        <v>1</v>
      </c>
      <c r="J19" s="30"/>
      <c r="K19" s="30" t="s">
        <v>1305</v>
      </c>
      <c r="L19" s="30"/>
      <c r="M19" s="126"/>
    </row>
    <row r="20" spans="2:13" ht="33" customHeight="1" outlineLevel="2" x14ac:dyDescent="0.3">
      <c r="B20" s="220"/>
      <c r="C20" s="27" t="s">
        <v>21</v>
      </c>
      <c r="D20" s="27" t="s">
        <v>2039</v>
      </c>
      <c r="E20" s="28" t="s">
        <v>2074</v>
      </c>
      <c r="F20" s="206"/>
      <c r="G20" s="210"/>
      <c r="H20" s="210"/>
      <c r="I20" s="91">
        <v>1</v>
      </c>
      <c r="J20" s="30"/>
      <c r="K20" s="30" t="s">
        <v>1306</v>
      </c>
      <c r="L20" s="30"/>
      <c r="M20" s="126"/>
    </row>
    <row r="21" spans="2:13" ht="33" customHeight="1" outlineLevel="2" x14ac:dyDescent="0.3">
      <c r="B21" s="220"/>
      <c r="C21" s="27" t="s">
        <v>22</v>
      </c>
      <c r="D21" s="27" t="s">
        <v>1454</v>
      </c>
      <c r="E21" s="28" t="s">
        <v>2074</v>
      </c>
      <c r="F21" s="206"/>
      <c r="G21" s="210"/>
      <c r="H21" s="210"/>
      <c r="I21" s="91">
        <v>1</v>
      </c>
      <c r="J21" s="30"/>
      <c r="K21" s="30"/>
      <c r="L21" s="30"/>
      <c r="M21" s="126"/>
    </row>
    <row r="22" spans="2:13" ht="33" customHeight="1" outlineLevel="2" x14ac:dyDescent="0.3">
      <c r="B22" s="220"/>
      <c r="C22" s="27" t="s">
        <v>23</v>
      </c>
      <c r="D22" s="27" t="s">
        <v>1455</v>
      </c>
      <c r="E22" s="28" t="s">
        <v>2074</v>
      </c>
      <c r="F22" s="206"/>
      <c r="G22" s="210"/>
      <c r="H22" s="210"/>
      <c r="I22" s="91">
        <v>1</v>
      </c>
      <c r="J22" s="30"/>
      <c r="K22" s="30" t="s">
        <v>1307</v>
      </c>
      <c r="L22" s="30"/>
      <c r="M22" s="126"/>
    </row>
    <row r="23" spans="2:13" ht="33" customHeight="1" outlineLevel="2" x14ac:dyDescent="0.3">
      <c r="B23" s="220"/>
      <c r="C23" s="27" t="s">
        <v>24</v>
      </c>
      <c r="D23" s="27" t="s">
        <v>1456</v>
      </c>
      <c r="E23" s="28" t="s">
        <v>2074</v>
      </c>
      <c r="F23" s="206">
        <v>2</v>
      </c>
      <c r="G23" s="210">
        <f>(COUNTIF(E23:E24,$F$411)+(COUNTIF(E23:E24,$F$410)*0.5))/(COUNTA(E23:E24)-COUNTIF(E23:E24,$F$412))</f>
        <v>0</v>
      </c>
      <c r="H23" s="210"/>
      <c r="I23" s="91">
        <v>3</v>
      </c>
      <c r="J23" s="30"/>
      <c r="K23" s="30"/>
      <c r="L23" s="30"/>
      <c r="M23" s="126"/>
    </row>
    <row r="24" spans="2:13" ht="33" customHeight="1" outlineLevel="2" x14ac:dyDescent="0.3">
      <c r="B24" s="220"/>
      <c r="C24" s="27" t="s">
        <v>25</v>
      </c>
      <c r="D24" s="27" t="s">
        <v>2040</v>
      </c>
      <c r="E24" s="28" t="s">
        <v>2074</v>
      </c>
      <c r="F24" s="206"/>
      <c r="G24" s="210"/>
      <c r="H24" s="210"/>
      <c r="I24" s="91">
        <v>3</v>
      </c>
      <c r="J24" s="30"/>
      <c r="K24" s="30"/>
      <c r="L24" s="30"/>
      <c r="M24" s="126"/>
    </row>
    <row r="25" spans="2:13" ht="33" customHeight="1" outlineLevel="2" x14ac:dyDescent="0.3">
      <c r="B25" s="220"/>
      <c r="C25" s="27" t="s">
        <v>26</v>
      </c>
      <c r="D25" s="27" t="s">
        <v>1457</v>
      </c>
      <c r="E25" s="28" t="s">
        <v>2074</v>
      </c>
      <c r="F25" s="206">
        <v>3</v>
      </c>
      <c r="G25" s="210">
        <f>(COUNTIF(E25:E26,$F$411)+(COUNTIF(E25:E26,$F$410)*0.5))/(COUNTA(E25:E26)-COUNTIF(E25:E26,$F$412))</f>
        <v>0</v>
      </c>
      <c r="H25" s="210"/>
      <c r="I25" s="91">
        <v>4</v>
      </c>
      <c r="J25" s="30" t="s">
        <v>655</v>
      </c>
      <c r="K25" s="30" t="s">
        <v>1303</v>
      </c>
      <c r="L25" s="30"/>
      <c r="M25" s="126"/>
    </row>
    <row r="26" spans="2:13" ht="33" customHeight="1" outlineLevel="2" x14ac:dyDescent="0.3">
      <c r="B26" s="220"/>
      <c r="C26" s="27" t="s">
        <v>28</v>
      </c>
      <c r="D26" s="27" t="s">
        <v>1458</v>
      </c>
      <c r="E26" s="28" t="s">
        <v>2074</v>
      </c>
      <c r="F26" s="206"/>
      <c r="G26" s="210"/>
      <c r="H26" s="210"/>
      <c r="I26" s="91">
        <v>4</v>
      </c>
      <c r="J26" s="30"/>
      <c r="K26" s="30" t="s">
        <v>1306</v>
      </c>
      <c r="L26" s="30"/>
      <c r="M26" s="126"/>
    </row>
    <row r="27" spans="2:13" ht="33" customHeight="1" outlineLevel="2" x14ac:dyDescent="0.3">
      <c r="B27" s="220"/>
      <c r="C27" s="27" t="s">
        <v>29</v>
      </c>
      <c r="D27" s="27" t="s">
        <v>1459</v>
      </c>
      <c r="E27" s="28" t="s">
        <v>2074</v>
      </c>
      <c r="F27" s="91">
        <v>4</v>
      </c>
      <c r="G27" s="210">
        <f>(COUNTIF(E27:E30,$F$411)+(COUNTIF(E27:E30,$F$410)*0.5))/(COUNTA(E27:E30))</f>
        <v>0</v>
      </c>
      <c r="H27" s="210"/>
      <c r="I27" s="91">
        <v>5</v>
      </c>
      <c r="J27" s="30" t="s">
        <v>27</v>
      </c>
      <c r="K27" s="30"/>
      <c r="L27" s="30"/>
      <c r="M27" s="126"/>
    </row>
    <row r="28" spans="2:13" ht="33" customHeight="1" outlineLevel="2" x14ac:dyDescent="0.3">
      <c r="B28" s="220"/>
      <c r="C28" s="27" t="s">
        <v>1356</v>
      </c>
      <c r="D28" s="27" t="s">
        <v>1460</v>
      </c>
      <c r="E28" s="28" t="s">
        <v>2074</v>
      </c>
      <c r="F28" s="91">
        <v>4</v>
      </c>
      <c r="G28" s="210"/>
      <c r="H28" s="210"/>
      <c r="I28" s="91">
        <v>5</v>
      </c>
      <c r="J28" s="30"/>
      <c r="K28" s="30"/>
      <c r="L28" s="30"/>
      <c r="M28" s="126"/>
    </row>
    <row r="29" spans="2:13" ht="33" customHeight="1" outlineLevel="2" x14ac:dyDescent="0.3">
      <c r="B29" s="220"/>
      <c r="C29" s="27" t="s">
        <v>1357</v>
      </c>
      <c r="D29" s="27" t="s">
        <v>2089</v>
      </c>
      <c r="E29" s="28" t="s">
        <v>2074</v>
      </c>
      <c r="F29" s="91">
        <v>4</v>
      </c>
      <c r="G29" s="210"/>
      <c r="H29" s="210"/>
      <c r="I29" s="91">
        <v>5</v>
      </c>
      <c r="J29" s="30" t="s">
        <v>27</v>
      </c>
      <c r="K29" s="30"/>
      <c r="L29" s="30"/>
      <c r="M29" s="126"/>
    </row>
    <row r="30" spans="2:13" ht="33" customHeight="1" outlineLevel="2" thickBot="1" x14ac:dyDescent="0.35">
      <c r="B30" s="221"/>
      <c r="C30" s="127" t="s">
        <v>1358</v>
      </c>
      <c r="D30" s="127" t="s">
        <v>2041</v>
      </c>
      <c r="E30" s="128" t="s">
        <v>2074</v>
      </c>
      <c r="F30" s="129">
        <v>4</v>
      </c>
      <c r="G30" s="217"/>
      <c r="H30" s="217"/>
      <c r="I30" s="129">
        <v>5</v>
      </c>
      <c r="J30" s="130"/>
      <c r="K30" s="130"/>
      <c r="L30" s="130"/>
      <c r="M30" s="131"/>
    </row>
    <row r="31" spans="2:13" customFormat="1" ht="6" customHeight="1" outlineLevel="1" x14ac:dyDescent="0.25"/>
    <row r="32" spans="2:13" ht="33" customHeight="1" x14ac:dyDescent="0.3">
      <c r="B32" s="208" t="s">
        <v>2080</v>
      </c>
      <c r="C32" s="208"/>
      <c r="D32" s="208"/>
      <c r="E32" s="208"/>
      <c r="F32" s="208"/>
      <c r="G32" s="208"/>
      <c r="H32" s="208"/>
      <c r="I32" s="208"/>
      <c r="J32" s="208"/>
      <c r="K32" s="208"/>
      <c r="L32" s="208"/>
      <c r="M32" s="208"/>
    </row>
    <row r="33" spans="2:13" ht="33" customHeight="1" outlineLevel="1" x14ac:dyDescent="0.3">
      <c r="B33" s="218" t="str">
        <f>'Assesment outcomes'!F5</f>
        <v>Developers workstations security</v>
      </c>
      <c r="C33" s="27" t="s">
        <v>30</v>
      </c>
      <c r="D33" s="27" t="s">
        <v>1461</v>
      </c>
      <c r="E33" s="28" t="s">
        <v>2074</v>
      </c>
      <c r="F33" s="33">
        <v>0</v>
      </c>
      <c r="G33" s="39">
        <f>(COUNTIF(E33:E33,$F$406))/COUNTA(E33:E33)</f>
        <v>0</v>
      </c>
      <c r="H33" s="210">
        <f>SUM(G34:G36)/2</f>
        <v>0</v>
      </c>
      <c r="I33" s="33">
        <v>0</v>
      </c>
      <c r="J33" s="30"/>
      <c r="K33" s="30"/>
      <c r="L33" s="30"/>
      <c r="M33" s="27"/>
    </row>
    <row r="34" spans="2:13" ht="33" customHeight="1" outlineLevel="2" x14ac:dyDescent="0.3">
      <c r="B34" s="218"/>
      <c r="C34" s="27" t="s">
        <v>31</v>
      </c>
      <c r="D34" s="27" t="s">
        <v>1462</v>
      </c>
      <c r="E34" s="28" t="s">
        <v>2074</v>
      </c>
      <c r="F34" s="206">
        <v>1</v>
      </c>
      <c r="G34" s="210">
        <f>(COUNTIF(E34:E35,$F$411)+(COUNTIF(E34:E35,$F$410)*0.5))/(COUNTA(E34:E35)-COUNTIF(E34:E35,$F$412))</f>
        <v>0</v>
      </c>
      <c r="H34" s="210"/>
      <c r="I34" s="29">
        <v>1</v>
      </c>
      <c r="J34" s="30"/>
      <c r="K34" s="30"/>
      <c r="L34" s="30"/>
      <c r="M34" s="27"/>
    </row>
    <row r="35" spans="2:13" ht="33" customHeight="1" outlineLevel="2" x14ac:dyDescent="0.3">
      <c r="B35" s="218"/>
      <c r="C35" s="27" t="s">
        <v>32</v>
      </c>
      <c r="D35" s="27" t="s">
        <v>2042</v>
      </c>
      <c r="E35" s="28" t="s">
        <v>2074</v>
      </c>
      <c r="F35" s="206"/>
      <c r="G35" s="210"/>
      <c r="H35" s="210"/>
      <c r="I35" s="29">
        <v>1</v>
      </c>
      <c r="J35" s="30"/>
      <c r="K35" s="30"/>
      <c r="L35" s="30"/>
      <c r="M35" s="27"/>
    </row>
    <row r="36" spans="2:13" ht="33" customHeight="1" outlineLevel="2" x14ac:dyDescent="0.3">
      <c r="B36" s="218"/>
      <c r="C36" s="27" t="s">
        <v>33</v>
      </c>
      <c r="D36" s="27" t="s">
        <v>2043</v>
      </c>
      <c r="E36" s="28" t="s">
        <v>2074</v>
      </c>
      <c r="F36" s="29">
        <v>2</v>
      </c>
      <c r="G36" s="39">
        <f>(COUNTIF(E36,$F$411)+(COUNTIF(E36,$F$410)*0.5))/COUNTA(E36)</f>
        <v>0</v>
      </c>
      <c r="H36" s="210"/>
      <c r="I36" s="29">
        <v>3</v>
      </c>
      <c r="J36" s="30"/>
      <c r="K36" s="30"/>
      <c r="L36" s="30"/>
      <c r="M36" s="27"/>
    </row>
    <row r="37" spans="2:13" ht="33" customHeight="1" outlineLevel="1" x14ac:dyDescent="0.3">
      <c r="B37" s="218" t="str">
        <f>'Assesment outcomes'!F6</f>
        <v>Secrets management in DEV/TEST environments</v>
      </c>
      <c r="C37" s="27" t="s">
        <v>34</v>
      </c>
      <c r="D37" s="27" t="s">
        <v>2033</v>
      </c>
      <c r="E37" s="28" t="s">
        <v>2074</v>
      </c>
      <c r="F37" s="29">
        <v>0</v>
      </c>
      <c r="G37" s="39">
        <f>(COUNTIF(E37:E37,$F$406))/COUNTA(E37:E37)</f>
        <v>0</v>
      </c>
      <c r="H37" s="210">
        <f>SUM(G38:G44)/4</f>
        <v>0</v>
      </c>
      <c r="I37" s="29">
        <v>0</v>
      </c>
      <c r="J37" s="30"/>
      <c r="K37" s="30" t="s">
        <v>1308</v>
      </c>
      <c r="L37" s="30" t="s">
        <v>682</v>
      </c>
      <c r="M37" s="34"/>
    </row>
    <row r="38" spans="2:13" ht="33" customHeight="1" outlineLevel="2" x14ac:dyDescent="0.3">
      <c r="B38" s="218"/>
      <c r="C38" s="27" t="s">
        <v>35</v>
      </c>
      <c r="D38" s="27" t="s">
        <v>1463</v>
      </c>
      <c r="E38" s="28" t="s">
        <v>2074</v>
      </c>
      <c r="F38" s="206">
        <v>1</v>
      </c>
      <c r="G38" s="210">
        <f>(COUNTIF(E38:E39,$F$411)+(COUNTIF(E38:E39,$F$410)*0.5))/(COUNTA(E38:E39)-COUNTIF(E38:E39,$F$412))</f>
        <v>0</v>
      </c>
      <c r="H38" s="210"/>
      <c r="I38" s="29">
        <v>1</v>
      </c>
      <c r="J38" s="30"/>
      <c r="K38" s="30" t="s">
        <v>1308</v>
      </c>
      <c r="L38" s="30" t="s">
        <v>682</v>
      </c>
      <c r="M38" s="34"/>
    </row>
    <row r="39" spans="2:13" ht="33" customHeight="1" outlineLevel="2" x14ac:dyDescent="0.3">
      <c r="B39" s="218"/>
      <c r="C39" s="27" t="s">
        <v>36</v>
      </c>
      <c r="D39" s="27" t="s">
        <v>1464</v>
      </c>
      <c r="E39" s="28" t="s">
        <v>2074</v>
      </c>
      <c r="F39" s="206"/>
      <c r="G39" s="210"/>
      <c r="H39" s="210"/>
      <c r="I39" s="29">
        <v>1</v>
      </c>
      <c r="J39" s="30" t="s">
        <v>656</v>
      </c>
      <c r="K39" s="30"/>
      <c r="L39" s="30" t="s">
        <v>699</v>
      </c>
      <c r="M39" s="34"/>
    </row>
    <row r="40" spans="2:13" ht="33" customHeight="1" outlineLevel="2" x14ac:dyDescent="0.3">
      <c r="B40" s="218"/>
      <c r="C40" s="27" t="s">
        <v>37</v>
      </c>
      <c r="D40" s="27" t="s">
        <v>1465</v>
      </c>
      <c r="E40" s="28" t="s">
        <v>2074</v>
      </c>
      <c r="F40" s="206">
        <v>2</v>
      </c>
      <c r="G40" s="210">
        <f>(COUNTIF(E40:E41,$F$411)+(COUNTIF(E40:E41,$F$410)*0.5))/(COUNTA(E40:E41)-COUNTIF(E40:E41,$F$412))</f>
        <v>0</v>
      </c>
      <c r="H40" s="210"/>
      <c r="I40" s="29">
        <v>2</v>
      </c>
      <c r="J40" s="30"/>
      <c r="K40" s="30" t="s">
        <v>1308</v>
      </c>
      <c r="L40" s="30" t="s">
        <v>690</v>
      </c>
      <c r="M40" s="27"/>
    </row>
    <row r="41" spans="2:13" ht="33" customHeight="1" outlineLevel="2" x14ac:dyDescent="0.3">
      <c r="B41" s="218"/>
      <c r="C41" s="27" t="s">
        <v>38</v>
      </c>
      <c r="D41" s="27" t="s">
        <v>1466</v>
      </c>
      <c r="E41" s="28" t="s">
        <v>2074</v>
      </c>
      <c r="F41" s="206"/>
      <c r="G41" s="210"/>
      <c r="H41" s="210"/>
      <c r="I41" s="29">
        <v>2</v>
      </c>
      <c r="J41" s="30"/>
      <c r="K41" s="30"/>
      <c r="L41" s="30" t="s">
        <v>690</v>
      </c>
      <c r="M41" s="27"/>
    </row>
    <row r="42" spans="2:13" ht="33" customHeight="1" outlineLevel="2" x14ac:dyDescent="0.3">
      <c r="B42" s="218"/>
      <c r="C42" s="27" t="s">
        <v>39</v>
      </c>
      <c r="D42" s="27" t="s">
        <v>1467</v>
      </c>
      <c r="E42" s="28" t="s">
        <v>2074</v>
      </c>
      <c r="F42" s="206">
        <v>3</v>
      </c>
      <c r="G42" s="210">
        <f>(COUNTIF(E42:E43,$F$411)+(COUNTIF(E42:E43,$F$410)*0.5))/(COUNTA(E42:E43)-COUNTIF(E42:E43,$F$412))</f>
        <v>0</v>
      </c>
      <c r="H42" s="210"/>
      <c r="I42" s="29">
        <v>3</v>
      </c>
      <c r="J42" s="30"/>
      <c r="K42" s="30" t="s">
        <v>1308</v>
      </c>
      <c r="L42" s="30" t="s">
        <v>682</v>
      </c>
      <c r="M42" s="27"/>
    </row>
    <row r="43" spans="2:13" ht="33" customHeight="1" outlineLevel="2" x14ac:dyDescent="0.3">
      <c r="B43" s="218"/>
      <c r="C43" s="27" t="s">
        <v>40</v>
      </c>
      <c r="D43" s="27" t="s">
        <v>1468</v>
      </c>
      <c r="E43" s="28" t="s">
        <v>2074</v>
      </c>
      <c r="F43" s="206"/>
      <c r="G43" s="210"/>
      <c r="H43" s="210"/>
      <c r="I43" s="29">
        <v>3</v>
      </c>
      <c r="J43" s="30"/>
      <c r="K43" s="30"/>
      <c r="L43" s="30" t="s">
        <v>683</v>
      </c>
      <c r="M43" s="27"/>
    </row>
    <row r="44" spans="2:13" ht="33" customHeight="1" outlineLevel="2" x14ac:dyDescent="0.3">
      <c r="B44" s="218"/>
      <c r="C44" s="27" t="s">
        <v>41</v>
      </c>
      <c r="D44" s="27" t="s">
        <v>2044</v>
      </c>
      <c r="E44" s="28" t="s">
        <v>2074</v>
      </c>
      <c r="F44" s="29">
        <v>4</v>
      </c>
      <c r="G44" s="39">
        <f>(COUNTIF(E44,$F$411)+(COUNTIF(E44,$F$410)*0.5))/COUNTA(E44)</f>
        <v>0</v>
      </c>
      <c r="H44" s="210"/>
      <c r="I44" s="29">
        <v>6</v>
      </c>
      <c r="J44" s="30"/>
      <c r="K44" s="30"/>
      <c r="L44" s="30"/>
      <c r="M44" s="27"/>
    </row>
    <row r="45" spans="2:13" ht="33" customHeight="1" outlineLevel="1" x14ac:dyDescent="0.3">
      <c r="B45" s="218" t="str">
        <f>'Assesment outcomes'!F7</f>
        <v>Build-environment security</v>
      </c>
      <c r="C45" s="27" t="s">
        <v>42</v>
      </c>
      <c r="D45" s="27" t="s">
        <v>1469</v>
      </c>
      <c r="E45" s="28" t="s">
        <v>2074</v>
      </c>
      <c r="F45" s="29">
        <v>0</v>
      </c>
      <c r="G45" s="39">
        <f>(COUNTIF(E45:E45,$F$406))/COUNTA(E45:E45)</f>
        <v>0</v>
      </c>
      <c r="H45" s="210">
        <f>SUM(G46:G54)/4</f>
        <v>0</v>
      </c>
      <c r="I45" s="29">
        <v>0</v>
      </c>
      <c r="J45" s="30"/>
      <c r="K45" s="30" t="s">
        <v>1309</v>
      </c>
      <c r="L45" s="30" t="s">
        <v>698</v>
      </c>
      <c r="M45" s="27"/>
    </row>
    <row r="46" spans="2:13" ht="33" customHeight="1" outlineLevel="2" x14ac:dyDescent="0.3">
      <c r="B46" s="218"/>
      <c r="C46" s="27" t="s">
        <v>43</v>
      </c>
      <c r="D46" s="27" t="s">
        <v>2045</v>
      </c>
      <c r="E46" s="28" t="s">
        <v>2074</v>
      </c>
      <c r="F46" s="206">
        <v>1</v>
      </c>
      <c r="G46" s="210">
        <f>(COUNTIF(E46:E49,$F$411)+(COUNTIF(E46:E49,$F$410)*0.5))/(COUNTA(E46:E49)-COUNTIF(E46:E49,$F$412))</f>
        <v>0</v>
      </c>
      <c r="H46" s="210"/>
      <c r="I46" s="29">
        <v>2</v>
      </c>
      <c r="J46" s="30"/>
      <c r="K46" s="30" t="s">
        <v>1310</v>
      </c>
      <c r="L46" s="30"/>
      <c r="M46" s="27"/>
    </row>
    <row r="47" spans="2:13" ht="33" customHeight="1" outlineLevel="2" x14ac:dyDescent="0.3">
      <c r="B47" s="218"/>
      <c r="C47" s="27" t="s">
        <v>44</v>
      </c>
      <c r="D47" s="27" t="s">
        <v>2046</v>
      </c>
      <c r="E47" s="28" t="s">
        <v>2074</v>
      </c>
      <c r="F47" s="206"/>
      <c r="G47" s="210"/>
      <c r="H47" s="210"/>
      <c r="I47" s="29">
        <v>2</v>
      </c>
      <c r="J47" s="30"/>
      <c r="K47" s="30"/>
      <c r="L47" s="30"/>
      <c r="M47" s="27"/>
    </row>
    <row r="48" spans="2:13" ht="33" customHeight="1" outlineLevel="2" x14ac:dyDescent="0.3">
      <c r="B48" s="218"/>
      <c r="C48" s="27" t="s">
        <v>45</v>
      </c>
      <c r="D48" s="27" t="s">
        <v>1470</v>
      </c>
      <c r="E48" s="28" t="s">
        <v>2074</v>
      </c>
      <c r="F48" s="206"/>
      <c r="G48" s="210"/>
      <c r="H48" s="210"/>
      <c r="I48" s="29">
        <v>2</v>
      </c>
      <c r="J48" s="30"/>
      <c r="K48" s="30"/>
      <c r="L48" s="30" t="s">
        <v>680</v>
      </c>
      <c r="M48" s="27"/>
    </row>
    <row r="49" spans="2:13" ht="33" customHeight="1" outlineLevel="2" x14ac:dyDescent="0.3">
      <c r="B49" s="218"/>
      <c r="C49" s="27" t="s">
        <v>46</v>
      </c>
      <c r="D49" s="27" t="s">
        <v>1471</v>
      </c>
      <c r="E49" s="28" t="s">
        <v>2074</v>
      </c>
      <c r="F49" s="206"/>
      <c r="G49" s="210"/>
      <c r="H49" s="210"/>
      <c r="I49" s="29">
        <v>2</v>
      </c>
      <c r="J49" s="30"/>
      <c r="K49" s="30"/>
      <c r="L49" s="30" t="s">
        <v>681</v>
      </c>
      <c r="M49" s="27"/>
    </row>
    <row r="50" spans="2:13" ht="33" customHeight="1" outlineLevel="2" x14ac:dyDescent="0.3">
      <c r="B50" s="218"/>
      <c r="C50" s="27" t="s">
        <v>48</v>
      </c>
      <c r="D50" s="27" t="s">
        <v>2047</v>
      </c>
      <c r="E50" s="28" t="s">
        <v>2074</v>
      </c>
      <c r="F50" s="29">
        <v>2</v>
      </c>
      <c r="G50" s="39">
        <f>(COUNTIF(E50,$F$411)+(COUNTIF(E50,$F$410)*0.5))/COUNTA(E50)</f>
        <v>0</v>
      </c>
      <c r="H50" s="210"/>
      <c r="I50" s="29">
        <v>3</v>
      </c>
      <c r="J50" s="28" t="s">
        <v>656</v>
      </c>
      <c r="K50" s="28"/>
      <c r="L50" s="30"/>
      <c r="M50" s="27"/>
    </row>
    <row r="51" spans="2:13" ht="33" customHeight="1" outlineLevel="2" x14ac:dyDescent="0.3">
      <c r="B51" s="218"/>
      <c r="C51" s="27" t="s">
        <v>49</v>
      </c>
      <c r="D51" s="27" t="s">
        <v>1472</v>
      </c>
      <c r="E51" s="28" t="s">
        <v>2074</v>
      </c>
      <c r="F51" s="206">
        <v>3</v>
      </c>
      <c r="G51" s="210">
        <f>(COUNTIF(E51:E53,$F$411)+(COUNTIF(E51:E53,$F$410)*0.5))/(COUNTA(E51:E53)-COUNTIF(E51:E53,$F$412))</f>
        <v>0</v>
      </c>
      <c r="H51" s="210"/>
      <c r="I51" s="29">
        <v>5</v>
      </c>
      <c r="J51" s="30"/>
      <c r="K51" s="30" t="s">
        <v>1311</v>
      </c>
      <c r="L51" s="30"/>
      <c r="M51" s="27"/>
    </row>
    <row r="52" spans="2:13" ht="33" customHeight="1" outlineLevel="2" x14ac:dyDescent="0.3">
      <c r="B52" s="218"/>
      <c r="C52" s="27" t="s">
        <v>50</v>
      </c>
      <c r="D52" s="27" t="s">
        <v>1473</v>
      </c>
      <c r="E52" s="28" t="s">
        <v>2074</v>
      </c>
      <c r="F52" s="206"/>
      <c r="G52" s="210"/>
      <c r="H52" s="210"/>
      <c r="I52" s="29">
        <v>5</v>
      </c>
      <c r="J52" s="30"/>
      <c r="K52" s="30" t="s">
        <v>1309</v>
      </c>
      <c r="L52" s="30" t="s">
        <v>684</v>
      </c>
      <c r="M52" s="27"/>
    </row>
    <row r="53" spans="2:13" ht="33" customHeight="1" outlineLevel="2" x14ac:dyDescent="0.3">
      <c r="B53" s="218"/>
      <c r="C53" s="27" t="s">
        <v>51</v>
      </c>
      <c r="D53" s="27" t="s">
        <v>1474</v>
      </c>
      <c r="E53" s="28" t="s">
        <v>2074</v>
      </c>
      <c r="F53" s="206"/>
      <c r="G53" s="210"/>
      <c r="H53" s="210"/>
      <c r="I53" s="29">
        <v>5</v>
      </c>
      <c r="J53" s="30"/>
      <c r="K53" s="30"/>
      <c r="L53" s="30"/>
      <c r="M53" s="27"/>
    </row>
    <row r="54" spans="2:13" ht="33" customHeight="1" outlineLevel="2" x14ac:dyDescent="0.3">
      <c r="B54" s="218"/>
      <c r="C54" s="27" t="s">
        <v>52</v>
      </c>
      <c r="D54" s="27" t="s">
        <v>1475</v>
      </c>
      <c r="E54" s="28" t="s">
        <v>2074</v>
      </c>
      <c r="F54" s="29">
        <v>4</v>
      </c>
      <c r="G54" s="39">
        <f>(COUNTIF(E54,$F$411)+(COUNTIF(E54,$F$410)*0.5))/COUNTA(E54)</f>
        <v>0</v>
      </c>
      <c r="H54" s="210"/>
      <c r="I54" s="29">
        <v>6</v>
      </c>
      <c r="J54" s="30"/>
      <c r="K54" s="30" t="s">
        <v>1311</v>
      </c>
      <c r="L54" s="30"/>
      <c r="M54" s="27"/>
    </row>
    <row r="55" spans="2:13" ht="33" customHeight="1" outlineLevel="1" x14ac:dyDescent="0.3">
      <c r="B55" s="218" t="str">
        <f>'Assesment outcomes'!F8</f>
        <v>Source code management system (SCM) security</v>
      </c>
      <c r="C55" s="27" t="s">
        <v>53</v>
      </c>
      <c r="D55" s="27" t="s">
        <v>1476</v>
      </c>
      <c r="E55" s="28" t="s">
        <v>2074</v>
      </c>
      <c r="F55" s="29">
        <v>0</v>
      </c>
      <c r="G55" s="39">
        <f>(COUNTIF(E55:E55,$F$406))/COUNTA(E55:E55)</f>
        <v>0</v>
      </c>
      <c r="H55" s="210">
        <f>SUM(G56:G75)/4</f>
        <v>0</v>
      </c>
      <c r="I55" s="29">
        <v>0</v>
      </c>
      <c r="J55" s="30"/>
      <c r="K55" s="30" t="s">
        <v>1312</v>
      </c>
      <c r="L55" s="30"/>
      <c r="M55" s="27"/>
    </row>
    <row r="56" spans="2:13" ht="33" customHeight="1" outlineLevel="2" x14ac:dyDescent="0.3">
      <c r="B56" s="218"/>
      <c r="C56" s="27" t="s">
        <v>54</v>
      </c>
      <c r="D56" s="27" t="s">
        <v>2048</v>
      </c>
      <c r="E56" s="28" t="s">
        <v>2074</v>
      </c>
      <c r="F56" s="206">
        <v>1</v>
      </c>
      <c r="G56" s="210">
        <f>(COUNTIF(E56:E62,$F$411)+(COUNTIF(E56:E62,$F$410)*0.5))/(COUNTA(E56:E62)-COUNTIF(E56:E62,$F$412))</f>
        <v>0</v>
      </c>
      <c r="H56" s="210"/>
      <c r="I56" s="29">
        <v>2</v>
      </c>
      <c r="J56" s="30"/>
      <c r="K56" s="30" t="s">
        <v>1312</v>
      </c>
      <c r="L56" s="30"/>
      <c r="M56" s="27"/>
    </row>
    <row r="57" spans="2:13" ht="33" customHeight="1" outlineLevel="2" x14ac:dyDescent="0.3">
      <c r="B57" s="218"/>
      <c r="C57" s="27" t="s">
        <v>55</v>
      </c>
      <c r="D57" s="27" t="s">
        <v>2049</v>
      </c>
      <c r="E57" s="28" t="s">
        <v>2074</v>
      </c>
      <c r="F57" s="206"/>
      <c r="G57" s="210"/>
      <c r="H57" s="210"/>
      <c r="I57" s="29">
        <v>2</v>
      </c>
      <c r="J57" s="30"/>
      <c r="K57" s="30"/>
      <c r="L57" s="30"/>
      <c r="M57" s="27"/>
    </row>
    <row r="58" spans="2:13" ht="33" customHeight="1" outlineLevel="2" x14ac:dyDescent="0.3">
      <c r="B58" s="218"/>
      <c r="C58" s="27" t="s">
        <v>56</v>
      </c>
      <c r="D58" s="27" t="s">
        <v>2050</v>
      </c>
      <c r="E58" s="28" t="s">
        <v>2074</v>
      </c>
      <c r="F58" s="206"/>
      <c r="G58" s="210"/>
      <c r="H58" s="210"/>
      <c r="I58" s="29">
        <v>2</v>
      </c>
      <c r="J58" s="30"/>
      <c r="K58" s="30"/>
      <c r="L58" s="30"/>
      <c r="M58" s="27"/>
    </row>
    <row r="59" spans="2:13" ht="33" customHeight="1" outlineLevel="2" x14ac:dyDescent="0.3">
      <c r="B59" s="218"/>
      <c r="C59" s="27" t="s">
        <v>57</v>
      </c>
      <c r="D59" s="27" t="s">
        <v>2051</v>
      </c>
      <c r="E59" s="28" t="s">
        <v>2074</v>
      </c>
      <c r="F59" s="206"/>
      <c r="G59" s="210"/>
      <c r="H59" s="210"/>
      <c r="I59" s="29">
        <v>2</v>
      </c>
      <c r="J59" s="28"/>
      <c r="K59" s="28"/>
      <c r="L59" s="30"/>
      <c r="M59" s="27"/>
    </row>
    <row r="60" spans="2:13" ht="33" customHeight="1" outlineLevel="2" x14ac:dyDescent="0.3">
      <c r="B60" s="218"/>
      <c r="C60" s="27" t="s">
        <v>59</v>
      </c>
      <c r="D60" s="27" t="s">
        <v>1477</v>
      </c>
      <c r="E60" s="28" t="s">
        <v>2074</v>
      </c>
      <c r="F60" s="206"/>
      <c r="G60" s="210"/>
      <c r="H60" s="210"/>
      <c r="I60" s="29">
        <v>2</v>
      </c>
      <c r="J60" s="30"/>
      <c r="K60" s="30"/>
      <c r="L60" s="30"/>
      <c r="M60" s="27"/>
    </row>
    <row r="61" spans="2:13" ht="33" customHeight="1" outlineLevel="2" x14ac:dyDescent="0.3">
      <c r="B61" s="218"/>
      <c r="C61" s="27" t="s">
        <v>60</v>
      </c>
      <c r="D61" s="27" t="s">
        <v>1478</v>
      </c>
      <c r="E61" s="28" t="s">
        <v>2074</v>
      </c>
      <c r="F61" s="206"/>
      <c r="G61" s="210"/>
      <c r="H61" s="210"/>
      <c r="I61" s="29">
        <v>2</v>
      </c>
      <c r="J61" s="30"/>
      <c r="K61" s="30"/>
      <c r="L61" s="30"/>
      <c r="M61" s="27"/>
    </row>
    <row r="62" spans="2:13" ht="33" customHeight="1" outlineLevel="2" x14ac:dyDescent="0.3">
      <c r="B62" s="218"/>
      <c r="C62" s="27" t="s">
        <v>61</v>
      </c>
      <c r="D62" s="27" t="s">
        <v>1479</v>
      </c>
      <c r="E62" s="28" t="s">
        <v>2074</v>
      </c>
      <c r="F62" s="206"/>
      <c r="G62" s="210"/>
      <c r="H62" s="210"/>
      <c r="I62" s="29">
        <v>2</v>
      </c>
      <c r="J62" s="30"/>
      <c r="K62" s="30"/>
      <c r="L62" s="30"/>
      <c r="M62" s="27"/>
    </row>
    <row r="63" spans="2:13" ht="33" customHeight="1" outlineLevel="2" x14ac:dyDescent="0.3">
      <c r="B63" s="218"/>
      <c r="C63" s="27" t="s">
        <v>62</v>
      </c>
      <c r="D63" s="27" t="s">
        <v>1480</v>
      </c>
      <c r="E63" s="28" t="s">
        <v>2074</v>
      </c>
      <c r="F63" s="206">
        <v>2</v>
      </c>
      <c r="G63" s="210">
        <f>(COUNTIF(E63:E68,$F$411)+(COUNTIF(E63:E68,$F$410)*0.5))/(COUNTA(E63:E68)-COUNTIF(E63:E68,$F$412))</f>
        <v>0</v>
      </c>
      <c r="H63" s="210"/>
      <c r="I63" s="29">
        <v>3</v>
      </c>
      <c r="J63" s="30"/>
      <c r="K63" s="30"/>
      <c r="L63" s="30"/>
      <c r="M63" s="27"/>
    </row>
    <row r="64" spans="2:13" ht="33" customHeight="1" outlineLevel="2" x14ac:dyDescent="0.3">
      <c r="B64" s="218"/>
      <c r="C64" s="27" t="s">
        <v>63</v>
      </c>
      <c r="D64" s="27" t="s">
        <v>1481</v>
      </c>
      <c r="E64" s="28" t="s">
        <v>2074</v>
      </c>
      <c r="F64" s="206"/>
      <c r="G64" s="210"/>
      <c r="H64" s="210"/>
      <c r="I64" s="29">
        <v>3</v>
      </c>
      <c r="J64" s="30"/>
      <c r="K64" s="30"/>
      <c r="L64" s="28"/>
      <c r="M64" s="27"/>
    </row>
    <row r="65" spans="2:13" ht="33" customHeight="1" outlineLevel="2" x14ac:dyDescent="0.3">
      <c r="B65" s="218"/>
      <c r="C65" s="27" t="s">
        <v>64</v>
      </c>
      <c r="D65" s="27" t="s">
        <v>1482</v>
      </c>
      <c r="E65" s="28" t="s">
        <v>2074</v>
      </c>
      <c r="F65" s="206"/>
      <c r="G65" s="210"/>
      <c r="H65" s="210"/>
      <c r="I65" s="29">
        <v>3</v>
      </c>
      <c r="J65" s="30"/>
      <c r="K65" s="30"/>
      <c r="L65" s="30"/>
      <c r="M65" s="27"/>
    </row>
    <row r="66" spans="2:13" ht="33" customHeight="1" outlineLevel="2" x14ac:dyDescent="0.3">
      <c r="B66" s="218"/>
      <c r="C66" s="27" t="s">
        <v>65</v>
      </c>
      <c r="D66" s="27" t="s">
        <v>1483</v>
      </c>
      <c r="E66" s="28" t="s">
        <v>2074</v>
      </c>
      <c r="F66" s="206"/>
      <c r="G66" s="210"/>
      <c r="H66" s="210"/>
      <c r="I66" s="29">
        <v>3</v>
      </c>
      <c r="J66" s="30"/>
      <c r="K66" s="30"/>
      <c r="L66" s="30" t="s">
        <v>700</v>
      </c>
      <c r="M66" s="27"/>
    </row>
    <row r="67" spans="2:13" ht="33" customHeight="1" outlineLevel="2" x14ac:dyDescent="0.3">
      <c r="B67" s="218"/>
      <c r="C67" s="27" t="s">
        <v>66</v>
      </c>
      <c r="D67" s="27" t="s">
        <v>1484</v>
      </c>
      <c r="E67" s="28" t="s">
        <v>2074</v>
      </c>
      <c r="F67" s="206"/>
      <c r="G67" s="210"/>
      <c r="H67" s="210"/>
      <c r="I67" s="29">
        <v>3</v>
      </c>
      <c r="J67" s="30"/>
      <c r="K67" s="30"/>
      <c r="L67" s="30" t="s">
        <v>306</v>
      </c>
      <c r="M67" s="27"/>
    </row>
    <row r="68" spans="2:13" ht="33" customHeight="1" outlineLevel="2" x14ac:dyDescent="0.3">
      <c r="B68" s="218"/>
      <c r="C68" s="27" t="s">
        <v>67</v>
      </c>
      <c r="D68" s="27" t="s">
        <v>1485</v>
      </c>
      <c r="E68" s="28" t="s">
        <v>2074</v>
      </c>
      <c r="F68" s="206"/>
      <c r="G68" s="210"/>
      <c r="H68" s="210"/>
      <c r="I68" s="29">
        <v>3</v>
      </c>
      <c r="J68" s="30"/>
      <c r="K68" s="30"/>
      <c r="L68" s="30"/>
      <c r="M68" s="27"/>
    </row>
    <row r="69" spans="2:13" ht="33" customHeight="1" outlineLevel="2" x14ac:dyDescent="0.3">
      <c r="B69" s="218"/>
      <c r="C69" s="27" t="s">
        <v>68</v>
      </c>
      <c r="D69" s="27" t="s">
        <v>1486</v>
      </c>
      <c r="E69" s="28" t="s">
        <v>2074</v>
      </c>
      <c r="F69" s="206">
        <v>3</v>
      </c>
      <c r="G69" s="210">
        <f>(COUNTIF(E69:E72,$F$411)+(COUNTIF(E69:E72,$F$410)*0.5))/(COUNTA(E69:E72)-COUNTIF(E69:E72,$F$412))</f>
        <v>0</v>
      </c>
      <c r="H69" s="210"/>
      <c r="I69" s="29">
        <v>4</v>
      </c>
      <c r="J69" s="30"/>
      <c r="K69" s="30"/>
      <c r="L69" s="30"/>
      <c r="M69" s="27"/>
    </row>
    <row r="70" spans="2:13" ht="33" customHeight="1" outlineLevel="2" x14ac:dyDescent="0.3">
      <c r="B70" s="218"/>
      <c r="C70" s="27" t="s">
        <v>69</v>
      </c>
      <c r="D70" s="27" t="s">
        <v>1487</v>
      </c>
      <c r="E70" s="28" t="s">
        <v>2074</v>
      </c>
      <c r="F70" s="206"/>
      <c r="G70" s="210"/>
      <c r="H70" s="210"/>
      <c r="I70" s="29">
        <v>4</v>
      </c>
      <c r="J70" s="30"/>
      <c r="K70" s="30"/>
      <c r="L70" s="30"/>
      <c r="M70" s="27"/>
    </row>
    <row r="71" spans="2:13" ht="33" customHeight="1" outlineLevel="2" x14ac:dyDescent="0.3">
      <c r="B71" s="218"/>
      <c r="C71" s="27" t="s">
        <v>70</v>
      </c>
      <c r="D71" s="27" t="s">
        <v>1488</v>
      </c>
      <c r="E71" s="28" t="s">
        <v>2074</v>
      </c>
      <c r="F71" s="206"/>
      <c r="G71" s="210"/>
      <c r="H71" s="210"/>
      <c r="I71" s="29">
        <v>4</v>
      </c>
      <c r="J71" s="28"/>
      <c r="K71" s="30" t="s">
        <v>1313</v>
      </c>
      <c r="L71" s="30"/>
      <c r="M71" s="27"/>
    </row>
    <row r="72" spans="2:13" ht="33" customHeight="1" outlineLevel="2" x14ac:dyDescent="0.3">
      <c r="B72" s="218"/>
      <c r="C72" s="27" t="s">
        <v>72</v>
      </c>
      <c r="D72" s="27" t="s">
        <v>1489</v>
      </c>
      <c r="E72" s="28" t="s">
        <v>2074</v>
      </c>
      <c r="F72" s="206"/>
      <c r="G72" s="210"/>
      <c r="H72" s="210"/>
      <c r="I72" s="29">
        <v>4</v>
      </c>
      <c r="J72" s="30"/>
      <c r="K72" s="30"/>
      <c r="L72" s="28"/>
      <c r="M72" s="27"/>
    </row>
    <row r="73" spans="2:13" ht="33" customHeight="1" outlineLevel="2" x14ac:dyDescent="0.3">
      <c r="B73" s="218"/>
      <c r="C73" s="27" t="s">
        <v>74</v>
      </c>
      <c r="D73" s="27" t="s">
        <v>2052</v>
      </c>
      <c r="E73" s="28" t="s">
        <v>2074</v>
      </c>
      <c r="F73" s="206">
        <v>4</v>
      </c>
      <c r="G73" s="210">
        <f>(COUNTIF(E73:E75,$F$411)+(COUNTIF(E73:E75,$F$410)*0.5))/(COUNTA(E73:E75)-COUNTIF(E73:E75,$F$412))</f>
        <v>0</v>
      </c>
      <c r="H73" s="210"/>
      <c r="I73" s="29">
        <v>6</v>
      </c>
      <c r="J73" s="30"/>
      <c r="K73" s="30"/>
      <c r="L73" s="30"/>
      <c r="M73" s="27"/>
    </row>
    <row r="74" spans="2:13" ht="33" customHeight="1" outlineLevel="2" x14ac:dyDescent="0.3">
      <c r="B74" s="218"/>
      <c r="C74" s="27" t="s">
        <v>75</v>
      </c>
      <c r="D74" s="27" t="s">
        <v>1490</v>
      </c>
      <c r="E74" s="28" t="s">
        <v>2074</v>
      </c>
      <c r="F74" s="206"/>
      <c r="G74" s="210"/>
      <c r="H74" s="210"/>
      <c r="I74" s="29">
        <v>6</v>
      </c>
      <c r="J74" s="30"/>
      <c r="K74" s="30"/>
      <c r="L74" s="30"/>
      <c r="M74" s="27"/>
    </row>
    <row r="75" spans="2:13" ht="33" customHeight="1" outlineLevel="2" x14ac:dyDescent="0.3">
      <c r="B75" s="218"/>
      <c r="C75" s="27" t="s">
        <v>744</v>
      </c>
      <c r="D75" s="27" t="s">
        <v>2091</v>
      </c>
      <c r="E75" s="28" t="s">
        <v>2074</v>
      </c>
      <c r="F75" s="206"/>
      <c r="G75" s="210"/>
      <c r="H75" s="210"/>
      <c r="I75" s="29">
        <v>6</v>
      </c>
      <c r="J75" s="30"/>
      <c r="K75" s="30"/>
      <c r="L75" s="30"/>
      <c r="M75" s="27"/>
    </row>
    <row r="76" spans="2:13" ht="33" customHeight="1" outlineLevel="1" x14ac:dyDescent="0.3">
      <c r="B76" s="218" t="str">
        <f>'Assesment outcomes'!F9</f>
        <v>Source code change management and control</v>
      </c>
      <c r="C76" s="27" t="s">
        <v>76</v>
      </c>
      <c r="D76" s="27" t="s">
        <v>2053</v>
      </c>
      <c r="E76" s="28" t="s">
        <v>2074</v>
      </c>
      <c r="F76" s="29">
        <v>0</v>
      </c>
      <c r="G76" s="39">
        <f>(COUNTIF(E76:E76,$F$406))/COUNTA(E76:E76)</f>
        <v>0</v>
      </c>
      <c r="H76" s="210">
        <f>SUM(G77:G94)/4</f>
        <v>0</v>
      </c>
      <c r="I76" s="29">
        <v>0</v>
      </c>
      <c r="J76" s="30"/>
      <c r="K76" s="30" t="s">
        <v>1314</v>
      </c>
      <c r="L76" s="30" t="s">
        <v>701</v>
      </c>
      <c r="M76" s="27"/>
    </row>
    <row r="77" spans="2:13" ht="33" customHeight="1" outlineLevel="2" x14ac:dyDescent="0.3">
      <c r="B77" s="218"/>
      <c r="C77" s="27" t="s">
        <v>77</v>
      </c>
      <c r="D77" s="27" t="s">
        <v>1491</v>
      </c>
      <c r="E77" s="28" t="s">
        <v>2074</v>
      </c>
      <c r="F77" s="206">
        <v>1</v>
      </c>
      <c r="G77" s="210">
        <f>(COUNTIF(E77:E81,$F$411)+(COUNTIF(E77:E81,$F$410)*0.5))/(COUNTA(E77:E81)-COUNTIF(E77:E81,$F$412))</f>
        <v>0</v>
      </c>
      <c r="H77" s="210"/>
      <c r="I77" s="29">
        <v>1</v>
      </c>
      <c r="J77" s="30"/>
      <c r="K77" s="30"/>
      <c r="L77" s="30"/>
      <c r="M77" s="27"/>
    </row>
    <row r="78" spans="2:13" ht="33" customHeight="1" outlineLevel="2" x14ac:dyDescent="0.3">
      <c r="B78" s="218"/>
      <c r="C78" s="27" t="s">
        <v>78</v>
      </c>
      <c r="D78" s="27" t="s">
        <v>1492</v>
      </c>
      <c r="E78" s="28" t="s">
        <v>2074</v>
      </c>
      <c r="F78" s="206"/>
      <c r="G78" s="210"/>
      <c r="H78" s="210"/>
      <c r="I78" s="29">
        <v>1</v>
      </c>
      <c r="J78" s="30"/>
      <c r="K78" s="30"/>
      <c r="L78" s="30"/>
      <c r="M78" s="27"/>
    </row>
    <row r="79" spans="2:13" ht="33" customHeight="1" outlineLevel="2" x14ac:dyDescent="0.3">
      <c r="B79" s="218"/>
      <c r="C79" s="27" t="s">
        <v>79</v>
      </c>
      <c r="D79" s="27" t="s">
        <v>1493</v>
      </c>
      <c r="E79" s="28" t="s">
        <v>2074</v>
      </c>
      <c r="F79" s="206"/>
      <c r="G79" s="210"/>
      <c r="H79" s="210"/>
      <c r="I79" s="29">
        <v>1</v>
      </c>
      <c r="J79" s="30"/>
      <c r="K79" s="30"/>
      <c r="L79" s="30"/>
      <c r="M79" s="27"/>
    </row>
    <row r="80" spans="2:13" ht="33" customHeight="1" outlineLevel="2" x14ac:dyDescent="0.3">
      <c r="B80" s="218"/>
      <c r="C80" s="27" t="s">
        <v>80</v>
      </c>
      <c r="D80" s="27" t="s">
        <v>1494</v>
      </c>
      <c r="E80" s="28" t="s">
        <v>2074</v>
      </c>
      <c r="F80" s="206"/>
      <c r="G80" s="210"/>
      <c r="H80" s="210"/>
      <c r="I80" s="29">
        <v>1</v>
      </c>
      <c r="J80" s="30"/>
      <c r="K80" s="30"/>
      <c r="L80" s="30"/>
      <c r="M80" s="27"/>
    </row>
    <row r="81" spans="2:13" ht="33" customHeight="1" outlineLevel="2" x14ac:dyDescent="0.3">
      <c r="B81" s="218"/>
      <c r="C81" s="27" t="s">
        <v>81</v>
      </c>
      <c r="D81" s="27" t="s">
        <v>1495</v>
      </c>
      <c r="E81" s="28" t="s">
        <v>2074</v>
      </c>
      <c r="F81" s="206"/>
      <c r="G81" s="210"/>
      <c r="H81" s="210"/>
      <c r="I81" s="29">
        <v>1</v>
      </c>
      <c r="J81" s="30"/>
      <c r="K81" s="30"/>
      <c r="L81" s="28"/>
      <c r="M81" s="27"/>
    </row>
    <row r="82" spans="2:13" ht="33" customHeight="1" outlineLevel="2" x14ac:dyDescent="0.3">
      <c r="B82" s="218"/>
      <c r="C82" s="27" t="s">
        <v>83</v>
      </c>
      <c r="D82" s="27" t="s">
        <v>1496</v>
      </c>
      <c r="E82" s="28" t="s">
        <v>2074</v>
      </c>
      <c r="F82" s="206">
        <v>2</v>
      </c>
      <c r="G82" s="210">
        <f>(COUNTIF(E82:E87,$F$411)+(COUNTIF(E82:E87,$F$410)*0.5))/(COUNTA(E82:E87)-COUNTIF(E82:E87,$F$412))</f>
        <v>0</v>
      </c>
      <c r="H82" s="210"/>
      <c r="I82" s="29">
        <v>3</v>
      </c>
      <c r="J82" s="30"/>
      <c r="K82" s="30"/>
      <c r="L82" s="30"/>
      <c r="M82" s="27"/>
    </row>
    <row r="83" spans="2:13" ht="33" customHeight="1" outlineLevel="2" x14ac:dyDescent="0.3">
      <c r="B83" s="218"/>
      <c r="C83" s="27" t="s">
        <v>84</v>
      </c>
      <c r="D83" s="27" t="s">
        <v>2054</v>
      </c>
      <c r="E83" s="28" t="s">
        <v>2074</v>
      </c>
      <c r="F83" s="206"/>
      <c r="G83" s="210"/>
      <c r="H83" s="210"/>
      <c r="I83" s="29">
        <v>3</v>
      </c>
      <c r="J83" s="30" t="s">
        <v>393</v>
      </c>
      <c r="K83" s="30" t="s">
        <v>1315</v>
      </c>
      <c r="L83" s="30"/>
      <c r="M83" s="27"/>
    </row>
    <row r="84" spans="2:13" ht="33" customHeight="1" outlineLevel="2" x14ac:dyDescent="0.3">
      <c r="B84" s="218"/>
      <c r="C84" s="27" t="s">
        <v>85</v>
      </c>
      <c r="D84" s="27" t="s">
        <v>2093</v>
      </c>
      <c r="E84" s="28" t="s">
        <v>2074</v>
      </c>
      <c r="F84" s="206"/>
      <c r="G84" s="210"/>
      <c r="H84" s="210"/>
      <c r="I84" s="29">
        <v>3</v>
      </c>
      <c r="J84" s="30"/>
      <c r="K84" s="30"/>
      <c r="L84" s="30"/>
      <c r="M84" s="27"/>
    </row>
    <row r="85" spans="2:13" ht="33" customHeight="1" outlineLevel="2" x14ac:dyDescent="0.3">
      <c r="B85" s="218"/>
      <c r="C85" s="27" t="s">
        <v>86</v>
      </c>
      <c r="D85" s="27" t="s">
        <v>1497</v>
      </c>
      <c r="E85" s="28" t="s">
        <v>2074</v>
      </c>
      <c r="F85" s="206"/>
      <c r="G85" s="210"/>
      <c r="H85" s="210"/>
      <c r="I85" s="29">
        <v>3</v>
      </c>
      <c r="J85" s="30"/>
      <c r="K85" s="30"/>
      <c r="L85" s="30"/>
      <c r="M85" s="27"/>
    </row>
    <row r="86" spans="2:13" ht="33" customHeight="1" outlineLevel="2" x14ac:dyDescent="0.3">
      <c r="B86" s="218"/>
      <c r="C86" s="27" t="s">
        <v>88</v>
      </c>
      <c r="D86" s="27" t="s">
        <v>1498</v>
      </c>
      <c r="E86" s="28" t="s">
        <v>2074</v>
      </c>
      <c r="F86" s="206"/>
      <c r="G86" s="210"/>
      <c r="H86" s="210"/>
      <c r="I86" s="29">
        <v>3</v>
      </c>
      <c r="J86" s="30"/>
      <c r="K86" s="30"/>
      <c r="L86" s="30"/>
      <c r="M86" s="27"/>
    </row>
    <row r="87" spans="2:13" ht="33" customHeight="1" outlineLevel="2" x14ac:dyDescent="0.3">
      <c r="B87" s="218"/>
      <c r="C87" s="27" t="s">
        <v>89</v>
      </c>
      <c r="D87" s="27" t="s">
        <v>1499</v>
      </c>
      <c r="E87" s="28" t="s">
        <v>2074</v>
      </c>
      <c r="F87" s="206"/>
      <c r="G87" s="210"/>
      <c r="H87" s="210"/>
      <c r="I87" s="29">
        <v>3</v>
      </c>
      <c r="J87" s="30"/>
      <c r="K87" s="30" t="s">
        <v>1316</v>
      </c>
      <c r="L87" s="30"/>
      <c r="M87" s="27"/>
    </row>
    <row r="88" spans="2:13" ht="33" customHeight="1" outlineLevel="2" x14ac:dyDescent="0.3">
      <c r="B88" s="218"/>
      <c r="C88" s="27" t="s">
        <v>90</v>
      </c>
      <c r="D88" s="27" t="s">
        <v>1500</v>
      </c>
      <c r="E88" s="28" t="s">
        <v>2074</v>
      </c>
      <c r="F88" s="206">
        <v>3</v>
      </c>
      <c r="G88" s="210">
        <f>(COUNTIF(E88:E93,$F$411)+(COUNTIF(E88:E93,$F$410)*0.5))/(COUNTA(E88:E93)-COUNTIF(E88:E93,$F$412))</f>
        <v>0</v>
      </c>
      <c r="H88" s="210"/>
      <c r="I88" s="29">
        <v>4</v>
      </c>
      <c r="J88" s="30"/>
      <c r="K88" s="30"/>
      <c r="L88" s="30"/>
      <c r="M88" s="27"/>
    </row>
    <row r="89" spans="2:13" ht="33" customHeight="1" outlineLevel="2" x14ac:dyDescent="0.3">
      <c r="B89" s="218"/>
      <c r="C89" s="27" t="s">
        <v>91</v>
      </c>
      <c r="D89" s="27" t="s">
        <v>1501</v>
      </c>
      <c r="E89" s="28" t="s">
        <v>2074</v>
      </c>
      <c r="F89" s="206"/>
      <c r="G89" s="210"/>
      <c r="H89" s="210"/>
      <c r="I89" s="29">
        <v>4</v>
      </c>
      <c r="J89" s="30"/>
      <c r="K89" s="30"/>
      <c r="L89" s="30"/>
      <c r="M89" s="27"/>
    </row>
    <row r="90" spans="2:13" ht="33" customHeight="1" outlineLevel="2" x14ac:dyDescent="0.3">
      <c r="B90" s="218"/>
      <c r="C90" s="27" t="s">
        <v>92</v>
      </c>
      <c r="D90" s="27" t="s">
        <v>1502</v>
      </c>
      <c r="E90" s="28" t="s">
        <v>2074</v>
      </c>
      <c r="F90" s="206"/>
      <c r="G90" s="210"/>
      <c r="H90" s="210"/>
      <c r="I90" s="29">
        <v>4</v>
      </c>
      <c r="J90" s="30" t="s">
        <v>27</v>
      </c>
      <c r="K90" s="30"/>
      <c r="L90" s="30"/>
      <c r="M90" s="27"/>
    </row>
    <row r="91" spans="2:13" ht="33" customHeight="1" outlineLevel="2" x14ac:dyDescent="0.3">
      <c r="B91" s="218"/>
      <c r="C91" s="27" t="s">
        <v>93</v>
      </c>
      <c r="D91" s="27" t="s">
        <v>2055</v>
      </c>
      <c r="E91" s="28" t="s">
        <v>2074</v>
      </c>
      <c r="F91" s="206"/>
      <c r="G91" s="210"/>
      <c r="H91" s="210"/>
      <c r="I91" s="29">
        <v>4</v>
      </c>
      <c r="J91" s="30"/>
      <c r="K91" s="30"/>
      <c r="L91" s="30"/>
      <c r="M91" s="27"/>
    </row>
    <row r="92" spans="2:13" ht="33" customHeight="1" outlineLevel="2" x14ac:dyDescent="0.3">
      <c r="B92" s="218"/>
      <c r="C92" s="27" t="s">
        <v>94</v>
      </c>
      <c r="D92" s="27" t="s">
        <v>2056</v>
      </c>
      <c r="E92" s="28" t="s">
        <v>2074</v>
      </c>
      <c r="F92" s="206"/>
      <c r="G92" s="210"/>
      <c r="H92" s="210"/>
      <c r="I92" s="29">
        <v>4</v>
      </c>
      <c r="J92" s="30"/>
      <c r="K92" s="30"/>
      <c r="L92" s="30"/>
      <c r="M92" s="27"/>
    </row>
    <row r="93" spans="2:13" ht="33" customHeight="1" outlineLevel="2" x14ac:dyDescent="0.3">
      <c r="B93" s="218"/>
      <c r="C93" s="27" t="s">
        <v>743</v>
      </c>
      <c r="D93" s="27" t="s">
        <v>2092</v>
      </c>
      <c r="E93" s="28" t="s">
        <v>2074</v>
      </c>
      <c r="F93" s="206"/>
      <c r="G93" s="210"/>
      <c r="H93" s="210"/>
      <c r="I93" s="29">
        <v>4</v>
      </c>
      <c r="J93" s="30"/>
      <c r="K93" s="30" t="s">
        <v>1315</v>
      </c>
      <c r="L93" s="30"/>
      <c r="M93" s="27"/>
    </row>
    <row r="94" spans="2:13" ht="33" customHeight="1" outlineLevel="2" x14ac:dyDescent="0.3">
      <c r="B94" s="218"/>
      <c r="C94" s="27" t="s">
        <v>95</v>
      </c>
      <c r="D94" s="27" t="s">
        <v>1503</v>
      </c>
      <c r="E94" s="28" t="s">
        <v>2074</v>
      </c>
      <c r="F94" s="29">
        <v>4</v>
      </c>
      <c r="G94" s="39">
        <f>(COUNTIF(E94,$F$411)+(COUNTIF(E94,$F$410)*0.5))/COUNTA(E94)</f>
        <v>0</v>
      </c>
      <c r="H94" s="210"/>
      <c r="I94" s="29">
        <v>6</v>
      </c>
      <c r="J94" s="30"/>
      <c r="K94" s="30" t="s">
        <v>1317</v>
      </c>
      <c r="L94" s="30"/>
      <c r="M94" s="27"/>
    </row>
    <row r="95" spans="2:13" ht="33" customHeight="1" outlineLevel="1" x14ac:dyDescent="0.3">
      <c r="B95" s="218" t="str">
        <f>'Assesment outcomes'!F10</f>
        <v>Build pipeline security</v>
      </c>
      <c r="C95" s="27" t="s">
        <v>96</v>
      </c>
      <c r="D95" s="27" t="s">
        <v>1504</v>
      </c>
      <c r="E95" s="28" t="s">
        <v>2074</v>
      </c>
      <c r="F95" s="29">
        <v>0</v>
      </c>
      <c r="G95" s="39">
        <f>(COUNTIF(E95:E95,$F$406))/COUNTA(E95:E95)</f>
        <v>0</v>
      </c>
      <c r="H95" s="210">
        <f>SUM(G96:G104)/4</f>
        <v>0</v>
      </c>
      <c r="I95" s="29">
        <v>0</v>
      </c>
      <c r="J95" s="30"/>
      <c r="K95" s="30" t="s">
        <v>1309</v>
      </c>
      <c r="L95" s="30" t="s">
        <v>698</v>
      </c>
      <c r="M95" s="27"/>
    </row>
    <row r="96" spans="2:13" ht="33" customHeight="1" outlineLevel="2" x14ac:dyDescent="0.3">
      <c r="B96" s="218"/>
      <c r="C96" s="27" t="s">
        <v>97</v>
      </c>
      <c r="D96" s="27" t="s">
        <v>1505</v>
      </c>
      <c r="E96" s="28" t="s">
        <v>2074</v>
      </c>
      <c r="F96" s="206">
        <v>1</v>
      </c>
      <c r="G96" s="210">
        <f>(COUNTIF(E96:E100,$F$411)+(COUNTIF(E96:E100,$F$410)*0.5))/(COUNTA(E96:E100)-COUNTIF(E96:E100,$F$412))</f>
        <v>0</v>
      </c>
      <c r="H96" s="210"/>
      <c r="I96" s="29">
        <v>1</v>
      </c>
      <c r="J96" s="30"/>
      <c r="K96" s="30"/>
      <c r="L96" s="30"/>
      <c r="M96" s="27"/>
    </row>
    <row r="97" spans="2:13" ht="33" customHeight="1" outlineLevel="2" x14ac:dyDescent="0.3">
      <c r="B97" s="218"/>
      <c r="C97" s="27" t="s">
        <v>98</v>
      </c>
      <c r="D97" s="27" t="s">
        <v>1506</v>
      </c>
      <c r="E97" s="28" t="s">
        <v>2074</v>
      </c>
      <c r="F97" s="206"/>
      <c r="G97" s="210"/>
      <c r="H97" s="210"/>
      <c r="I97" s="29">
        <v>1</v>
      </c>
      <c r="J97" s="30"/>
      <c r="K97" s="30"/>
      <c r="L97" s="30"/>
      <c r="M97" s="27"/>
    </row>
    <row r="98" spans="2:13" ht="33" customHeight="1" outlineLevel="2" x14ac:dyDescent="0.3">
      <c r="B98" s="218"/>
      <c r="C98" s="27" t="s">
        <v>99</v>
      </c>
      <c r="D98" s="27" t="s">
        <v>1507</v>
      </c>
      <c r="E98" s="28" t="s">
        <v>2074</v>
      </c>
      <c r="F98" s="206"/>
      <c r="G98" s="210"/>
      <c r="H98" s="210"/>
      <c r="I98" s="29">
        <v>1</v>
      </c>
      <c r="J98" s="30" t="s">
        <v>657</v>
      </c>
      <c r="K98" s="30"/>
      <c r="L98" s="30"/>
      <c r="M98" s="27"/>
    </row>
    <row r="99" spans="2:13" ht="33" customHeight="1" outlineLevel="2" x14ac:dyDescent="0.3">
      <c r="B99" s="218"/>
      <c r="C99" s="27" t="s">
        <v>741</v>
      </c>
      <c r="D99" s="27" t="s">
        <v>1508</v>
      </c>
      <c r="E99" s="28" t="s">
        <v>2074</v>
      </c>
      <c r="F99" s="206"/>
      <c r="G99" s="210"/>
      <c r="H99" s="210"/>
      <c r="I99" s="29">
        <v>1</v>
      </c>
      <c r="J99" s="30"/>
      <c r="K99" s="30"/>
      <c r="L99" s="30"/>
      <c r="M99" s="27"/>
    </row>
    <row r="100" spans="2:13" ht="33" customHeight="1" outlineLevel="2" x14ac:dyDescent="0.3">
      <c r="B100" s="218"/>
      <c r="C100" s="27" t="s">
        <v>742</v>
      </c>
      <c r="D100" s="27" t="s">
        <v>1509</v>
      </c>
      <c r="E100" s="28" t="s">
        <v>2074</v>
      </c>
      <c r="F100" s="206"/>
      <c r="G100" s="210"/>
      <c r="H100" s="210"/>
      <c r="I100" s="29">
        <v>1</v>
      </c>
      <c r="J100" s="30"/>
      <c r="K100" s="30"/>
      <c r="L100" s="30"/>
      <c r="M100" s="34"/>
    </row>
    <row r="101" spans="2:13" ht="33" customHeight="1" outlineLevel="2" x14ac:dyDescent="0.3">
      <c r="B101" s="218"/>
      <c r="C101" s="27" t="s">
        <v>100</v>
      </c>
      <c r="D101" s="27" t="s">
        <v>1510</v>
      </c>
      <c r="E101" s="28" t="s">
        <v>2074</v>
      </c>
      <c r="F101" s="206">
        <v>2</v>
      </c>
      <c r="G101" s="210">
        <f>(COUNTIF(E101:E102,$F$411)+(COUNTIF(E101:E102,$F$410)*0.5))/(COUNTA(E101:E102)-COUNTIF(E101:E102,$F$412))</f>
        <v>0</v>
      </c>
      <c r="H101" s="210"/>
      <c r="I101" s="29">
        <v>3</v>
      </c>
      <c r="J101" s="30"/>
      <c r="K101" s="30"/>
      <c r="L101" s="30"/>
      <c r="M101" s="27"/>
    </row>
    <row r="102" spans="2:13" ht="33" customHeight="1" outlineLevel="2" x14ac:dyDescent="0.3">
      <c r="B102" s="218"/>
      <c r="C102" s="27" t="s">
        <v>101</v>
      </c>
      <c r="D102" s="27" t="s">
        <v>1511</v>
      </c>
      <c r="E102" s="28" t="s">
        <v>2074</v>
      </c>
      <c r="F102" s="206"/>
      <c r="G102" s="210"/>
      <c r="H102" s="210"/>
      <c r="I102" s="29">
        <v>3</v>
      </c>
      <c r="J102" s="30"/>
      <c r="K102" s="30"/>
      <c r="L102" s="30"/>
      <c r="M102" s="27"/>
    </row>
    <row r="103" spans="2:13" ht="33" customHeight="1" outlineLevel="2" x14ac:dyDescent="0.3">
      <c r="B103" s="218"/>
      <c r="C103" s="27" t="s">
        <v>102</v>
      </c>
      <c r="D103" s="27" t="s">
        <v>1512</v>
      </c>
      <c r="E103" s="28" t="s">
        <v>2074</v>
      </c>
      <c r="F103" s="29">
        <v>3</v>
      </c>
      <c r="G103" s="39">
        <f>(COUNTIF(E103:E103,$F$411)+(COUNTIF(E103:E103,$F$410)*0.5))/COUNTA(E103:E103)</f>
        <v>0</v>
      </c>
      <c r="H103" s="210"/>
      <c r="I103" s="29">
        <v>4</v>
      </c>
      <c r="J103" s="30"/>
      <c r="K103" s="30"/>
      <c r="L103" s="30"/>
      <c r="M103" s="27"/>
    </row>
    <row r="104" spans="2:13" ht="33" customHeight="1" outlineLevel="2" x14ac:dyDescent="0.3">
      <c r="B104" s="218"/>
      <c r="C104" s="27" t="s">
        <v>103</v>
      </c>
      <c r="D104" s="27" t="s">
        <v>1513</v>
      </c>
      <c r="E104" s="28" t="s">
        <v>2074</v>
      </c>
      <c r="F104" s="29">
        <v>4</v>
      </c>
      <c r="G104" s="39">
        <f>(COUNTIF(E104,$F$411)+(COUNTIF(E104,$F$410)*0.5))/COUNTA(E104)</f>
        <v>0</v>
      </c>
      <c r="H104" s="210"/>
      <c r="I104" s="29">
        <v>5</v>
      </c>
      <c r="J104" s="30"/>
      <c r="K104" s="30"/>
      <c r="L104" s="30"/>
      <c r="M104" s="27"/>
    </row>
    <row r="105" spans="2:13" customFormat="1" ht="6" customHeight="1" outlineLevel="1" x14ac:dyDescent="0.25"/>
    <row r="106" spans="2:13" ht="33" customHeight="1" x14ac:dyDescent="0.3">
      <c r="B106" s="215" t="s">
        <v>2081</v>
      </c>
      <c r="C106" s="215"/>
      <c r="D106" s="215"/>
      <c r="E106" s="215"/>
      <c r="F106" s="215"/>
      <c r="G106" s="215"/>
      <c r="H106" s="215"/>
      <c r="I106" s="215"/>
      <c r="J106" s="215"/>
      <c r="K106" s="215"/>
      <c r="L106" s="215"/>
      <c r="M106" s="215"/>
    </row>
    <row r="107" spans="2:13" ht="33" customHeight="1" outlineLevel="1" x14ac:dyDescent="0.3">
      <c r="B107" s="218" t="str">
        <f>'Assesment outcomes'!F11</f>
        <v>Security assurance for vendor-developed software</v>
      </c>
      <c r="C107" s="35" t="s">
        <v>722</v>
      </c>
      <c r="D107" s="27" t="s">
        <v>1514</v>
      </c>
      <c r="E107" s="28" t="s">
        <v>2074</v>
      </c>
      <c r="F107" s="29">
        <v>0</v>
      </c>
      <c r="G107" s="39">
        <f>(COUNTIF(E107:E107,$F$406))/COUNTA(E107:E107)</f>
        <v>0</v>
      </c>
      <c r="H107" s="210">
        <f>SUM(G108:G119)/4</f>
        <v>0</v>
      </c>
      <c r="I107" s="29">
        <v>0</v>
      </c>
      <c r="J107" s="36"/>
      <c r="K107" s="36"/>
      <c r="L107" s="36"/>
      <c r="M107" s="34"/>
    </row>
    <row r="108" spans="2:13" ht="33" customHeight="1" outlineLevel="2" x14ac:dyDescent="0.3">
      <c r="B108" s="218"/>
      <c r="C108" s="35" t="s">
        <v>723</v>
      </c>
      <c r="D108" s="27" t="s">
        <v>1515</v>
      </c>
      <c r="E108" s="28" t="s">
        <v>2074</v>
      </c>
      <c r="F108" s="206">
        <v>1</v>
      </c>
      <c r="G108" s="210">
        <f>(COUNTIF(E108:E109,$F$411)+(COUNTIF(E108:E109,$F$410)*0.5))/(COUNTA(E108:E109)-COUNTIF(E108:E109,$F$412))</f>
        <v>0</v>
      </c>
      <c r="H108" s="210"/>
      <c r="I108" s="29">
        <v>2</v>
      </c>
      <c r="J108" s="38"/>
      <c r="K108" s="38"/>
      <c r="L108" s="38"/>
      <c r="M108" s="34"/>
    </row>
    <row r="109" spans="2:13" ht="33" customHeight="1" outlineLevel="2" x14ac:dyDescent="0.3">
      <c r="B109" s="218"/>
      <c r="C109" s="35" t="s">
        <v>724</v>
      </c>
      <c r="D109" s="27" t="s">
        <v>1516</v>
      </c>
      <c r="E109" s="28" t="s">
        <v>2074</v>
      </c>
      <c r="F109" s="206"/>
      <c r="G109" s="210"/>
      <c r="H109" s="210"/>
      <c r="I109" s="29">
        <v>2</v>
      </c>
      <c r="J109" s="38"/>
      <c r="K109" s="38"/>
      <c r="L109" s="38"/>
      <c r="M109" s="34"/>
    </row>
    <row r="110" spans="2:13" ht="33" customHeight="1" outlineLevel="2" x14ac:dyDescent="0.3">
      <c r="B110" s="218"/>
      <c r="C110" s="35" t="s">
        <v>725</v>
      </c>
      <c r="D110" s="27" t="s">
        <v>1517</v>
      </c>
      <c r="E110" s="28" t="s">
        <v>2074</v>
      </c>
      <c r="F110" s="206">
        <v>2</v>
      </c>
      <c r="G110" s="210">
        <f>(COUNTIF(E110:E113,$F$411)+(COUNTIF(E110:E113,$F$410)*0.5))/(COUNTA(E110:E113)-COUNTIF(E110:E113,$F$412))</f>
        <v>0</v>
      </c>
      <c r="H110" s="210"/>
      <c r="I110" s="29">
        <v>4</v>
      </c>
      <c r="J110" s="38"/>
      <c r="K110" s="38"/>
      <c r="L110" s="38"/>
      <c r="M110" s="34"/>
    </row>
    <row r="111" spans="2:13" ht="33" customHeight="1" outlineLevel="2" x14ac:dyDescent="0.3">
      <c r="B111" s="218"/>
      <c r="C111" s="35" t="s">
        <v>726</v>
      </c>
      <c r="D111" s="27" t="s">
        <v>1518</v>
      </c>
      <c r="E111" s="28" t="s">
        <v>2074</v>
      </c>
      <c r="F111" s="206"/>
      <c r="G111" s="210"/>
      <c r="H111" s="210"/>
      <c r="I111" s="29">
        <v>4</v>
      </c>
      <c r="J111" s="38"/>
      <c r="K111" s="38"/>
      <c r="L111" s="38"/>
      <c r="M111" s="34"/>
    </row>
    <row r="112" spans="2:13" ht="33" customHeight="1" outlineLevel="2" x14ac:dyDescent="0.3">
      <c r="B112" s="218"/>
      <c r="C112" s="35" t="s">
        <v>727</v>
      </c>
      <c r="D112" s="27" t="s">
        <v>1519</v>
      </c>
      <c r="E112" s="28" t="s">
        <v>2074</v>
      </c>
      <c r="F112" s="206"/>
      <c r="G112" s="210"/>
      <c r="H112" s="210"/>
      <c r="I112" s="29">
        <v>4</v>
      </c>
      <c r="J112" s="38"/>
      <c r="K112" s="38"/>
      <c r="L112" s="38"/>
      <c r="M112" s="34"/>
    </row>
    <row r="113" spans="2:13" ht="33" customHeight="1" outlineLevel="2" x14ac:dyDescent="0.3">
      <c r="B113" s="218"/>
      <c r="C113" s="35" t="s">
        <v>730</v>
      </c>
      <c r="D113" s="27" t="s">
        <v>1520</v>
      </c>
      <c r="E113" s="28" t="s">
        <v>2074</v>
      </c>
      <c r="F113" s="206"/>
      <c r="G113" s="210"/>
      <c r="H113" s="210"/>
      <c r="I113" s="29">
        <v>4</v>
      </c>
      <c r="J113" s="38"/>
      <c r="K113" s="38"/>
      <c r="L113" s="38"/>
      <c r="M113" s="34"/>
    </row>
    <row r="114" spans="2:13" ht="33" customHeight="1" outlineLevel="2" x14ac:dyDescent="0.3">
      <c r="B114" s="218"/>
      <c r="C114" s="35" t="s">
        <v>728</v>
      </c>
      <c r="D114" s="27" t="s">
        <v>1521</v>
      </c>
      <c r="E114" s="28" t="s">
        <v>2074</v>
      </c>
      <c r="F114" s="206">
        <v>3</v>
      </c>
      <c r="G114" s="210">
        <f>(COUNTIF(E114:E118,$F$411)+(COUNTIF(E114:E118,$F$410)*0.5))/(COUNTA(E114:E118)-COUNTIF(E114:E118,$F$412))</f>
        <v>0</v>
      </c>
      <c r="H114" s="210"/>
      <c r="I114" s="29">
        <v>5</v>
      </c>
      <c r="J114" s="38"/>
      <c r="K114" s="38"/>
      <c r="L114" s="38"/>
      <c r="M114" s="34"/>
    </row>
    <row r="115" spans="2:13" ht="33" customHeight="1" outlineLevel="2" x14ac:dyDescent="0.3">
      <c r="B115" s="218"/>
      <c r="C115" s="35" t="s">
        <v>729</v>
      </c>
      <c r="D115" s="27" t="s">
        <v>1522</v>
      </c>
      <c r="E115" s="28" t="s">
        <v>2074</v>
      </c>
      <c r="F115" s="206"/>
      <c r="G115" s="210"/>
      <c r="H115" s="210"/>
      <c r="I115" s="29">
        <v>5</v>
      </c>
      <c r="J115" s="38"/>
      <c r="K115" s="38"/>
      <c r="L115" s="38"/>
      <c r="M115" s="34"/>
    </row>
    <row r="116" spans="2:13" ht="33" customHeight="1" outlineLevel="2" x14ac:dyDescent="0.3">
      <c r="B116" s="218"/>
      <c r="C116" s="35" t="s">
        <v>731</v>
      </c>
      <c r="D116" s="27" t="s">
        <v>1523</v>
      </c>
      <c r="E116" s="28" t="s">
        <v>2074</v>
      </c>
      <c r="F116" s="206"/>
      <c r="G116" s="210"/>
      <c r="H116" s="210"/>
      <c r="I116" s="29">
        <v>5</v>
      </c>
      <c r="J116" s="38"/>
      <c r="K116" s="38"/>
      <c r="L116" s="38"/>
      <c r="M116" s="34"/>
    </row>
    <row r="117" spans="2:13" ht="33" customHeight="1" outlineLevel="2" x14ac:dyDescent="0.3">
      <c r="B117" s="218"/>
      <c r="C117" s="35" t="s">
        <v>733</v>
      </c>
      <c r="D117" s="27" t="s">
        <v>1524</v>
      </c>
      <c r="E117" s="28" t="s">
        <v>2074</v>
      </c>
      <c r="F117" s="206"/>
      <c r="G117" s="210"/>
      <c r="H117" s="210"/>
      <c r="I117" s="29">
        <v>5</v>
      </c>
      <c r="J117" s="38"/>
      <c r="K117" s="38"/>
      <c r="L117" s="38"/>
      <c r="M117" s="34"/>
    </row>
    <row r="118" spans="2:13" ht="33" customHeight="1" outlineLevel="2" x14ac:dyDescent="0.3">
      <c r="B118" s="218"/>
      <c r="C118" s="35" t="s">
        <v>734</v>
      </c>
      <c r="D118" s="27" t="s">
        <v>1525</v>
      </c>
      <c r="E118" s="28" t="s">
        <v>2074</v>
      </c>
      <c r="F118" s="206"/>
      <c r="G118" s="210"/>
      <c r="H118" s="210"/>
      <c r="I118" s="29">
        <v>5</v>
      </c>
      <c r="J118" s="38"/>
      <c r="K118" s="38"/>
      <c r="L118" s="38"/>
      <c r="M118" s="34"/>
    </row>
    <row r="119" spans="2:13" ht="33" customHeight="1" outlineLevel="2" x14ac:dyDescent="0.3">
      <c r="B119" s="218"/>
      <c r="C119" s="35" t="s">
        <v>732</v>
      </c>
      <c r="D119" s="27" t="s">
        <v>1526</v>
      </c>
      <c r="E119" s="28" t="s">
        <v>2074</v>
      </c>
      <c r="F119" s="29">
        <v>4</v>
      </c>
      <c r="G119" s="39">
        <f>(COUNTIF(E119,$F$411)+(COUNTIF(E119,$F$410)*0.5))/COUNTA(E119)</f>
        <v>0</v>
      </c>
      <c r="H119" s="210"/>
      <c r="I119" s="29">
        <v>7</v>
      </c>
      <c r="J119" s="38"/>
      <c r="K119" s="38"/>
      <c r="L119" s="38"/>
      <c r="M119" s="34"/>
    </row>
    <row r="120" spans="2:13" ht="33" customHeight="1" outlineLevel="1" x14ac:dyDescent="0.3">
      <c r="B120" s="218" t="str">
        <f>'Assesment outcomes'!F12</f>
        <v>Static application security testing (SAST)</v>
      </c>
      <c r="C120" s="27" t="s">
        <v>104</v>
      </c>
      <c r="D120" s="27" t="s">
        <v>2057</v>
      </c>
      <c r="E120" s="28" t="s">
        <v>2074</v>
      </c>
      <c r="F120" s="29">
        <v>0</v>
      </c>
      <c r="G120" s="39">
        <f>(COUNTIF(E120:E120,$F$406))/COUNTA(E120:E120)</f>
        <v>0</v>
      </c>
      <c r="H120" s="205">
        <f>SUM(G121:G130)/4</f>
        <v>0</v>
      </c>
      <c r="I120" s="28">
        <v>0</v>
      </c>
      <c r="J120" s="30"/>
      <c r="K120" s="30" t="s">
        <v>1318</v>
      </c>
      <c r="L120" s="30" t="s">
        <v>685</v>
      </c>
      <c r="M120" s="27"/>
    </row>
    <row r="121" spans="2:13" ht="33" customHeight="1" outlineLevel="2" x14ac:dyDescent="0.3">
      <c r="B121" s="218"/>
      <c r="C121" s="27" t="s">
        <v>105</v>
      </c>
      <c r="D121" s="27" t="s">
        <v>1527</v>
      </c>
      <c r="E121" s="28" t="s">
        <v>2074</v>
      </c>
      <c r="F121" s="206">
        <v>1</v>
      </c>
      <c r="G121" s="210">
        <f>(COUNTIF(E121:E122,$F$411)+(COUNTIF(E121:E122,$F$410)*0.5))/(COUNTA(E121:E122)-COUNTIF(E121:E122,$F$412))</f>
        <v>0</v>
      </c>
      <c r="H121" s="205"/>
      <c r="I121" s="28">
        <v>2</v>
      </c>
      <c r="J121" s="30" t="s">
        <v>390</v>
      </c>
      <c r="K121" s="30"/>
      <c r="L121" s="30" t="s">
        <v>685</v>
      </c>
      <c r="M121" s="27"/>
    </row>
    <row r="122" spans="2:13" ht="33" customHeight="1" outlineLevel="2" x14ac:dyDescent="0.3">
      <c r="B122" s="218"/>
      <c r="C122" s="27" t="s">
        <v>106</v>
      </c>
      <c r="D122" s="27" t="s">
        <v>1528</v>
      </c>
      <c r="E122" s="28" t="s">
        <v>2074</v>
      </c>
      <c r="F122" s="206"/>
      <c r="G122" s="210"/>
      <c r="H122" s="205"/>
      <c r="I122" s="28">
        <v>2</v>
      </c>
      <c r="J122" s="30"/>
      <c r="K122" s="30"/>
      <c r="L122" s="30" t="s">
        <v>685</v>
      </c>
      <c r="M122" s="27"/>
    </row>
    <row r="123" spans="2:13" ht="48" customHeight="1" outlineLevel="2" x14ac:dyDescent="0.3">
      <c r="B123" s="218"/>
      <c r="C123" s="27" t="s">
        <v>107</v>
      </c>
      <c r="D123" s="27" t="s">
        <v>1529</v>
      </c>
      <c r="E123" s="28" t="s">
        <v>2074</v>
      </c>
      <c r="F123" s="206">
        <v>2</v>
      </c>
      <c r="G123" s="210">
        <f>(COUNTIF(E123:E126,$F$411)+(COUNTIF(E123:E126,$F$410)*0.5))/(COUNTA(E123:E126)-COUNTIF(E123:E126,$F$412))</f>
        <v>0</v>
      </c>
      <c r="H123" s="205"/>
      <c r="I123" s="28">
        <v>3</v>
      </c>
      <c r="J123" s="30"/>
      <c r="K123" s="30" t="s">
        <v>1319</v>
      </c>
      <c r="L123" s="30" t="s">
        <v>687</v>
      </c>
      <c r="M123" s="27"/>
    </row>
    <row r="124" spans="2:13" ht="33" customHeight="1" outlineLevel="2" x14ac:dyDescent="0.3">
      <c r="B124" s="218"/>
      <c r="C124" s="27" t="s">
        <v>108</v>
      </c>
      <c r="D124" s="27" t="s">
        <v>1530</v>
      </c>
      <c r="E124" s="28" t="s">
        <v>2074</v>
      </c>
      <c r="F124" s="206"/>
      <c r="G124" s="210"/>
      <c r="H124" s="205"/>
      <c r="I124" s="28">
        <v>3</v>
      </c>
      <c r="J124" s="30"/>
      <c r="K124" s="30"/>
      <c r="L124" s="30" t="s">
        <v>687</v>
      </c>
      <c r="M124" s="27"/>
    </row>
    <row r="125" spans="2:13" ht="33" customHeight="1" outlineLevel="2" x14ac:dyDescent="0.3">
      <c r="B125" s="218"/>
      <c r="C125" s="27" t="s">
        <v>109</v>
      </c>
      <c r="D125" s="27" t="s">
        <v>1531</v>
      </c>
      <c r="E125" s="28" t="s">
        <v>2074</v>
      </c>
      <c r="F125" s="206"/>
      <c r="G125" s="210"/>
      <c r="H125" s="205"/>
      <c r="I125" s="28">
        <v>3</v>
      </c>
      <c r="J125" s="30" t="s">
        <v>1360</v>
      </c>
      <c r="K125" s="30"/>
      <c r="L125" s="30" t="s">
        <v>686</v>
      </c>
      <c r="M125" s="27"/>
    </row>
    <row r="126" spans="2:13" ht="33" customHeight="1" outlineLevel="2" x14ac:dyDescent="0.3">
      <c r="B126" s="218"/>
      <c r="C126" s="27" t="s">
        <v>110</v>
      </c>
      <c r="D126" s="27" t="s">
        <v>1532</v>
      </c>
      <c r="E126" s="28" t="s">
        <v>2074</v>
      </c>
      <c r="F126" s="206"/>
      <c r="G126" s="210"/>
      <c r="H126" s="205"/>
      <c r="I126" s="28">
        <v>3</v>
      </c>
      <c r="J126" s="30"/>
      <c r="K126" s="30"/>
      <c r="L126" s="30"/>
      <c r="M126" s="27"/>
    </row>
    <row r="127" spans="2:13" ht="33" customHeight="1" outlineLevel="2" x14ac:dyDescent="0.3">
      <c r="B127" s="218"/>
      <c r="C127" s="27" t="s">
        <v>111</v>
      </c>
      <c r="D127" s="27" t="s">
        <v>1533</v>
      </c>
      <c r="E127" s="28" t="s">
        <v>2074</v>
      </c>
      <c r="F127" s="206">
        <v>3</v>
      </c>
      <c r="G127" s="210">
        <f>(COUNTIF(E127:E129,$F$411)+(COUNTIF(E127:E129,$F$410)*0.5))/(COUNTA(E127:E129)-COUNTIF(E127:E129,$F$412))</f>
        <v>0</v>
      </c>
      <c r="H127" s="205"/>
      <c r="I127" s="28">
        <v>4</v>
      </c>
      <c r="J127" s="30"/>
      <c r="K127" s="30"/>
      <c r="L127" s="30" t="s">
        <v>685</v>
      </c>
      <c r="M127" s="27"/>
    </row>
    <row r="128" spans="2:13" ht="33" customHeight="1" outlineLevel="2" x14ac:dyDescent="0.3">
      <c r="B128" s="218"/>
      <c r="C128" s="27" t="s">
        <v>112</v>
      </c>
      <c r="D128" s="27" t="s">
        <v>1534</v>
      </c>
      <c r="E128" s="28" t="s">
        <v>2074</v>
      </c>
      <c r="F128" s="206"/>
      <c r="G128" s="210"/>
      <c r="H128" s="205"/>
      <c r="I128" s="28">
        <v>4</v>
      </c>
      <c r="J128" s="30" t="s">
        <v>113</v>
      </c>
      <c r="K128" s="30"/>
      <c r="L128" s="30" t="s">
        <v>687</v>
      </c>
      <c r="M128" s="27"/>
    </row>
    <row r="129" spans="2:13" ht="33" customHeight="1" outlineLevel="2" x14ac:dyDescent="0.3">
      <c r="B129" s="218"/>
      <c r="C129" s="27" t="s">
        <v>114</v>
      </c>
      <c r="D129" s="27" t="s">
        <v>1535</v>
      </c>
      <c r="E129" s="28" t="s">
        <v>2074</v>
      </c>
      <c r="F129" s="206"/>
      <c r="G129" s="210"/>
      <c r="H129" s="205"/>
      <c r="I129" s="28">
        <v>4</v>
      </c>
      <c r="J129" s="30"/>
      <c r="K129" s="30"/>
      <c r="L129" s="30"/>
      <c r="M129" s="27"/>
    </row>
    <row r="130" spans="2:13" ht="33" customHeight="1" outlineLevel="2" x14ac:dyDescent="0.3">
      <c r="B130" s="218"/>
      <c r="C130" s="27" t="s">
        <v>115</v>
      </c>
      <c r="D130" s="27" t="s">
        <v>1536</v>
      </c>
      <c r="E130" s="28" t="s">
        <v>2074</v>
      </c>
      <c r="F130" s="29">
        <v>4</v>
      </c>
      <c r="G130" s="39">
        <f>(COUNTIF(E130,$F$411)+(COUNTIF(E130,$F$410)*0.5))/COUNTA(E130)</f>
        <v>0</v>
      </c>
      <c r="H130" s="205"/>
      <c r="I130" s="28">
        <v>7</v>
      </c>
      <c r="J130" s="30"/>
      <c r="K130" s="30" t="s">
        <v>1320</v>
      </c>
      <c r="L130" s="30" t="s">
        <v>679</v>
      </c>
      <c r="M130" s="27"/>
    </row>
    <row r="131" spans="2:13" ht="33" customHeight="1" outlineLevel="1" x14ac:dyDescent="0.3">
      <c r="B131" s="218" t="str">
        <f>'Assesment outcomes'!F13</f>
        <v>Software Composition Analysis/Open Source Analysis (SCA/OSA)</v>
      </c>
      <c r="C131" s="27" t="s">
        <v>116</v>
      </c>
      <c r="D131" s="27" t="s">
        <v>1537</v>
      </c>
      <c r="E131" s="28" t="s">
        <v>2074</v>
      </c>
      <c r="F131" s="29">
        <v>0</v>
      </c>
      <c r="G131" s="39">
        <f>(COUNTIF(E131:E131,$F$406))/COUNTA(E131:E131)</f>
        <v>0</v>
      </c>
      <c r="H131" s="205">
        <f>SUM(G132:G144)/4</f>
        <v>0</v>
      </c>
      <c r="I131" s="28">
        <v>0</v>
      </c>
      <c r="J131" s="30" t="s">
        <v>658</v>
      </c>
      <c r="K131" s="30" t="s">
        <v>1321</v>
      </c>
      <c r="L131" s="30" t="s">
        <v>4</v>
      </c>
      <c r="M131" s="27"/>
    </row>
    <row r="132" spans="2:13" ht="33" customHeight="1" outlineLevel="2" x14ac:dyDescent="0.3">
      <c r="B132" s="218"/>
      <c r="C132" s="27" t="s">
        <v>117</v>
      </c>
      <c r="D132" s="27" t="s">
        <v>1538</v>
      </c>
      <c r="E132" s="28" t="s">
        <v>2074</v>
      </c>
      <c r="F132" s="206">
        <v>1</v>
      </c>
      <c r="G132" s="210">
        <f>(COUNTIF(E132:E134,$F$411)+(COUNTIF(E132:E134,$F$410)*0.5))/(COUNTA(E132:E134)-COUNTIF(E132:E134,$F$412))</f>
        <v>0</v>
      </c>
      <c r="H132" s="205"/>
      <c r="I132" s="28">
        <v>1</v>
      </c>
      <c r="J132" s="30" t="s">
        <v>118</v>
      </c>
      <c r="K132" s="30"/>
      <c r="L132" s="30"/>
      <c r="M132" s="27"/>
    </row>
    <row r="133" spans="2:13" ht="33" customHeight="1" outlineLevel="2" x14ac:dyDescent="0.3">
      <c r="B133" s="218"/>
      <c r="C133" s="27" t="s">
        <v>119</v>
      </c>
      <c r="D133" s="27" t="s">
        <v>1539</v>
      </c>
      <c r="E133" s="28" t="s">
        <v>2074</v>
      </c>
      <c r="F133" s="206"/>
      <c r="G133" s="210"/>
      <c r="H133" s="205"/>
      <c r="I133" s="28">
        <v>1</v>
      </c>
      <c r="J133" s="30"/>
      <c r="K133" s="30"/>
      <c r="L133" s="30"/>
      <c r="M133" s="27"/>
    </row>
    <row r="134" spans="2:13" ht="33" customHeight="1" outlineLevel="2" x14ac:dyDescent="0.3">
      <c r="B134" s="218"/>
      <c r="C134" s="27" t="s">
        <v>120</v>
      </c>
      <c r="D134" s="27" t="s">
        <v>1540</v>
      </c>
      <c r="E134" s="28" t="s">
        <v>2074</v>
      </c>
      <c r="F134" s="206"/>
      <c r="G134" s="210"/>
      <c r="H134" s="205"/>
      <c r="I134" s="28">
        <v>1</v>
      </c>
      <c r="J134" s="30" t="s">
        <v>654</v>
      </c>
      <c r="K134" s="30"/>
      <c r="L134" s="30"/>
      <c r="M134" s="27"/>
    </row>
    <row r="135" spans="2:13" ht="33" customHeight="1" outlineLevel="2" x14ac:dyDescent="0.3">
      <c r="B135" s="218"/>
      <c r="C135" s="27" t="s">
        <v>121</v>
      </c>
      <c r="D135" s="27" t="s">
        <v>1541</v>
      </c>
      <c r="E135" s="28" t="s">
        <v>2074</v>
      </c>
      <c r="F135" s="206">
        <v>2</v>
      </c>
      <c r="G135" s="210">
        <f>(COUNTIF(E135:E139,$F$411)+(COUNTIF(E135:E139,$F$410)*0.5))/(COUNTA(E135:E139)-COUNTIF(E135:E139,$F$412))</f>
        <v>0</v>
      </c>
      <c r="H135" s="205"/>
      <c r="I135" s="28">
        <v>2</v>
      </c>
      <c r="J135" s="30"/>
      <c r="K135" s="30"/>
      <c r="L135" s="30" t="s">
        <v>702</v>
      </c>
      <c r="M135" s="27"/>
    </row>
    <row r="136" spans="2:13" ht="33" customHeight="1" outlineLevel="2" x14ac:dyDescent="0.3">
      <c r="B136" s="218"/>
      <c r="C136" s="27" t="s">
        <v>122</v>
      </c>
      <c r="D136" s="27" t="s">
        <v>1542</v>
      </c>
      <c r="E136" s="28" t="s">
        <v>2074</v>
      </c>
      <c r="F136" s="206"/>
      <c r="G136" s="210"/>
      <c r="H136" s="205"/>
      <c r="I136" s="28">
        <v>2</v>
      </c>
      <c r="J136" s="30"/>
      <c r="K136" s="30"/>
      <c r="L136" s="30"/>
      <c r="M136" s="27"/>
    </row>
    <row r="137" spans="2:13" ht="33" customHeight="1" outlineLevel="2" x14ac:dyDescent="0.3">
      <c r="B137" s="218"/>
      <c r="C137" s="27" t="s">
        <v>123</v>
      </c>
      <c r="D137" s="27" t="s">
        <v>1543</v>
      </c>
      <c r="E137" s="28" t="s">
        <v>2074</v>
      </c>
      <c r="F137" s="206"/>
      <c r="G137" s="210"/>
      <c r="H137" s="205"/>
      <c r="I137" s="28">
        <v>2</v>
      </c>
      <c r="J137" s="30" t="s">
        <v>27</v>
      </c>
      <c r="K137" s="30"/>
      <c r="L137" s="30" t="s">
        <v>698</v>
      </c>
      <c r="M137" s="27"/>
    </row>
    <row r="138" spans="2:13" ht="33" customHeight="1" outlineLevel="2" x14ac:dyDescent="0.3">
      <c r="B138" s="218"/>
      <c r="C138" s="27" t="s">
        <v>124</v>
      </c>
      <c r="D138" s="27" t="s">
        <v>1544</v>
      </c>
      <c r="E138" s="28" t="s">
        <v>2074</v>
      </c>
      <c r="F138" s="206"/>
      <c r="G138" s="210"/>
      <c r="H138" s="205"/>
      <c r="I138" s="28">
        <v>2</v>
      </c>
      <c r="J138" s="30" t="s">
        <v>1360</v>
      </c>
      <c r="K138" s="30"/>
      <c r="L138" s="30" t="s">
        <v>686</v>
      </c>
      <c r="M138" s="27"/>
    </row>
    <row r="139" spans="2:13" ht="33" customHeight="1" outlineLevel="2" x14ac:dyDescent="0.3">
      <c r="B139" s="218"/>
      <c r="C139" s="27" t="s">
        <v>125</v>
      </c>
      <c r="D139" s="27" t="s">
        <v>1545</v>
      </c>
      <c r="E139" s="28" t="s">
        <v>2074</v>
      </c>
      <c r="F139" s="206"/>
      <c r="G139" s="210"/>
      <c r="H139" s="205"/>
      <c r="I139" s="28">
        <v>2</v>
      </c>
      <c r="J139" s="30" t="s">
        <v>7</v>
      </c>
      <c r="K139" s="30"/>
      <c r="L139" s="30" t="s">
        <v>4</v>
      </c>
      <c r="M139" s="27"/>
    </row>
    <row r="140" spans="2:13" ht="33" customHeight="1" outlineLevel="2" x14ac:dyDescent="0.3">
      <c r="B140" s="218"/>
      <c r="C140" s="27" t="s">
        <v>126</v>
      </c>
      <c r="D140" s="27" t="s">
        <v>2058</v>
      </c>
      <c r="E140" s="28" t="s">
        <v>2074</v>
      </c>
      <c r="F140" s="206">
        <v>3</v>
      </c>
      <c r="G140" s="210">
        <f>(COUNTIF(E140:E143,$F$411)+(COUNTIF(E140:E143,$F$410)*0.5))/(COUNTA(E140:E143)-COUNTIF(E140:E143,$F$412))</f>
        <v>0</v>
      </c>
      <c r="H140" s="205"/>
      <c r="I140" s="28">
        <v>4</v>
      </c>
      <c r="J140" s="30"/>
      <c r="K140" s="30"/>
      <c r="L140" s="30"/>
      <c r="M140" s="27"/>
    </row>
    <row r="141" spans="2:13" ht="33" customHeight="1" outlineLevel="2" x14ac:dyDescent="0.3">
      <c r="B141" s="218"/>
      <c r="C141" s="27" t="s">
        <v>127</v>
      </c>
      <c r="D141" s="27" t="s">
        <v>1546</v>
      </c>
      <c r="E141" s="28" t="s">
        <v>2074</v>
      </c>
      <c r="F141" s="206"/>
      <c r="G141" s="210"/>
      <c r="H141" s="205"/>
      <c r="I141" s="28">
        <v>4</v>
      </c>
      <c r="J141" s="30" t="s">
        <v>659</v>
      </c>
      <c r="K141" s="30" t="s">
        <v>1322</v>
      </c>
      <c r="L141" s="30"/>
      <c r="M141" s="27"/>
    </row>
    <row r="142" spans="2:13" ht="33" customHeight="1" outlineLevel="2" x14ac:dyDescent="0.3">
      <c r="B142" s="218"/>
      <c r="C142" s="27" t="s">
        <v>128</v>
      </c>
      <c r="D142" s="27" t="s">
        <v>2059</v>
      </c>
      <c r="E142" s="28" t="s">
        <v>2074</v>
      </c>
      <c r="F142" s="206"/>
      <c r="G142" s="210"/>
      <c r="H142" s="205"/>
      <c r="I142" s="28">
        <v>4</v>
      </c>
      <c r="J142" s="30"/>
      <c r="K142" s="30"/>
      <c r="L142" s="30"/>
      <c r="M142" s="27"/>
    </row>
    <row r="143" spans="2:13" ht="33" customHeight="1" outlineLevel="2" x14ac:dyDescent="0.3">
      <c r="B143" s="218"/>
      <c r="C143" s="27" t="s">
        <v>129</v>
      </c>
      <c r="D143" s="27" t="s">
        <v>1547</v>
      </c>
      <c r="E143" s="28" t="s">
        <v>2074</v>
      </c>
      <c r="F143" s="206"/>
      <c r="G143" s="210"/>
      <c r="H143" s="205"/>
      <c r="I143" s="28">
        <v>4</v>
      </c>
      <c r="J143" s="30"/>
      <c r="K143" s="30"/>
      <c r="L143" s="30" t="s">
        <v>678</v>
      </c>
      <c r="M143" s="27"/>
    </row>
    <row r="144" spans="2:13" ht="33" customHeight="1" outlineLevel="2" x14ac:dyDescent="0.3">
      <c r="B144" s="218"/>
      <c r="C144" s="27" t="s">
        <v>130</v>
      </c>
      <c r="D144" s="27" t="s">
        <v>1548</v>
      </c>
      <c r="E144" s="28" t="s">
        <v>2074</v>
      </c>
      <c r="F144" s="29">
        <v>4</v>
      </c>
      <c r="G144" s="39">
        <f>(COUNTIF(E144,$F$411)+(COUNTIF(E144,$F$410)*0.5))/COUNTA(E144)</f>
        <v>0</v>
      </c>
      <c r="H144" s="205"/>
      <c r="I144" s="28">
        <v>6</v>
      </c>
      <c r="J144" s="30"/>
      <c r="K144" s="30"/>
      <c r="L144" s="30"/>
      <c r="M144" s="27"/>
    </row>
    <row r="145" spans="2:13" ht="33" customHeight="1" outlineLevel="1" x14ac:dyDescent="0.3">
      <c r="B145" s="218" t="str">
        <f>'Assesment outcomes'!F14</f>
        <v>Image container security analysis</v>
      </c>
      <c r="C145" s="27" t="s">
        <v>131</v>
      </c>
      <c r="D145" s="27" t="s">
        <v>1549</v>
      </c>
      <c r="E145" s="28" t="s">
        <v>2074</v>
      </c>
      <c r="F145" s="29">
        <v>0</v>
      </c>
      <c r="G145" s="39">
        <f>(COUNTIF(E145:E145,$F$406))/COUNTA(E145:E145)</f>
        <v>0</v>
      </c>
      <c r="H145" s="205">
        <f>SUM(G146:G153)/4</f>
        <v>0</v>
      </c>
      <c r="I145" s="28">
        <v>0</v>
      </c>
      <c r="J145" s="30"/>
      <c r="K145" s="30"/>
      <c r="L145" s="30"/>
      <c r="M145" s="27"/>
    </row>
    <row r="146" spans="2:13" ht="33" customHeight="1" outlineLevel="2" x14ac:dyDescent="0.3">
      <c r="B146" s="218"/>
      <c r="C146" s="27" t="s">
        <v>132</v>
      </c>
      <c r="D146" s="27" t="s">
        <v>1550</v>
      </c>
      <c r="E146" s="28" t="s">
        <v>2074</v>
      </c>
      <c r="F146" s="206">
        <v>1</v>
      </c>
      <c r="G146" s="210">
        <f>(COUNTIF(E146:E148,$F$411)+(COUNTIF(E146:E148,$F$410)*0.5))/(COUNTA(E146:E148)-COUNTIF(E146:E148,$F$412))</f>
        <v>0</v>
      </c>
      <c r="H146" s="205"/>
      <c r="I146" s="28">
        <v>1</v>
      </c>
      <c r="J146" s="30"/>
      <c r="K146" s="30"/>
      <c r="L146" s="30"/>
      <c r="M146" s="27"/>
    </row>
    <row r="147" spans="2:13" ht="33" customHeight="1" outlineLevel="2" x14ac:dyDescent="0.3">
      <c r="B147" s="218"/>
      <c r="C147" s="27" t="s">
        <v>133</v>
      </c>
      <c r="D147" s="27" t="s">
        <v>1551</v>
      </c>
      <c r="E147" s="28" t="s">
        <v>2074</v>
      </c>
      <c r="F147" s="206"/>
      <c r="G147" s="210"/>
      <c r="H147" s="205"/>
      <c r="I147" s="28">
        <v>1</v>
      </c>
      <c r="J147" s="30"/>
      <c r="K147" s="30"/>
      <c r="L147" s="30"/>
      <c r="M147" s="27"/>
    </row>
    <row r="148" spans="2:13" ht="33" customHeight="1" outlineLevel="2" x14ac:dyDescent="0.3">
      <c r="B148" s="218"/>
      <c r="C148" s="27" t="s">
        <v>134</v>
      </c>
      <c r="D148" s="27" t="s">
        <v>1552</v>
      </c>
      <c r="E148" s="28" t="s">
        <v>2074</v>
      </c>
      <c r="F148" s="206"/>
      <c r="G148" s="210"/>
      <c r="H148" s="205"/>
      <c r="I148" s="28">
        <v>1</v>
      </c>
      <c r="J148" s="30"/>
      <c r="K148" s="30"/>
      <c r="L148" s="30"/>
      <c r="M148" s="27"/>
    </row>
    <row r="149" spans="2:13" ht="33" customHeight="1" outlineLevel="2" x14ac:dyDescent="0.3">
      <c r="B149" s="218"/>
      <c r="C149" s="27" t="s">
        <v>135</v>
      </c>
      <c r="D149" s="27" t="s">
        <v>1553</v>
      </c>
      <c r="E149" s="28" t="s">
        <v>2074</v>
      </c>
      <c r="F149" s="206">
        <v>2</v>
      </c>
      <c r="G149" s="210">
        <f>(COUNTIF(E149:E151,$F$411)+(COUNTIF(E149:E151,$F$410)*0.5))/(COUNTA(E149:E151)-COUNTIF(E149:E151,$F$412))</f>
        <v>0</v>
      </c>
      <c r="H149" s="205"/>
      <c r="I149" s="28">
        <v>2</v>
      </c>
      <c r="J149" s="30" t="s">
        <v>657</v>
      </c>
      <c r="K149" s="30"/>
      <c r="L149" s="30"/>
      <c r="M149" s="27"/>
    </row>
    <row r="150" spans="2:13" ht="33" customHeight="1" outlineLevel="2" x14ac:dyDescent="0.3">
      <c r="B150" s="218"/>
      <c r="C150" s="27" t="s">
        <v>136</v>
      </c>
      <c r="D150" s="27" t="s">
        <v>1554</v>
      </c>
      <c r="E150" s="28" t="s">
        <v>2074</v>
      </c>
      <c r="F150" s="206"/>
      <c r="G150" s="210"/>
      <c r="H150" s="205"/>
      <c r="I150" s="28">
        <v>2</v>
      </c>
      <c r="J150" s="30"/>
      <c r="K150" s="30"/>
      <c r="L150" s="30"/>
      <c r="M150" s="27"/>
    </row>
    <row r="151" spans="2:13" ht="33" customHeight="1" outlineLevel="2" x14ac:dyDescent="0.3">
      <c r="B151" s="218"/>
      <c r="C151" s="27" t="s">
        <v>137</v>
      </c>
      <c r="D151" s="27" t="s">
        <v>1555</v>
      </c>
      <c r="E151" s="28" t="s">
        <v>2074</v>
      </c>
      <c r="F151" s="206"/>
      <c r="G151" s="210"/>
      <c r="H151" s="205"/>
      <c r="I151" s="28">
        <v>2</v>
      </c>
      <c r="J151" s="30"/>
      <c r="K151" s="30"/>
      <c r="L151" s="30"/>
      <c r="M151" s="27"/>
    </row>
    <row r="152" spans="2:13" ht="33" customHeight="1" outlineLevel="2" x14ac:dyDescent="0.3">
      <c r="B152" s="218"/>
      <c r="C152" s="27" t="s">
        <v>138</v>
      </c>
      <c r="D152" s="27" t="s">
        <v>2060</v>
      </c>
      <c r="E152" s="28" t="s">
        <v>2074</v>
      </c>
      <c r="F152" s="29">
        <v>3</v>
      </c>
      <c r="G152" s="39">
        <f>(COUNTIF(E152,$F$411)+(COUNTIF(E152,$F$410)*0.5))/(COUNTA(E152)-COUNTIF(E152,$F$412))</f>
        <v>0</v>
      </c>
      <c r="H152" s="205"/>
      <c r="I152" s="28">
        <v>3</v>
      </c>
      <c r="J152" s="30" t="s">
        <v>27</v>
      </c>
      <c r="K152" s="30"/>
      <c r="L152" s="30"/>
      <c r="M152" s="27"/>
    </row>
    <row r="153" spans="2:13" ht="33" customHeight="1" outlineLevel="2" x14ac:dyDescent="0.3">
      <c r="B153" s="218"/>
      <c r="C153" s="27" t="s">
        <v>139</v>
      </c>
      <c r="D153" s="27" t="s">
        <v>1556</v>
      </c>
      <c r="E153" s="28" t="s">
        <v>2074</v>
      </c>
      <c r="F153" s="206">
        <v>4</v>
      </c>
      <c r="G153" s="210">
        <f>(COUNTIF(E153:E154,$F$411)+(COUNTIF(E153:E154,$F$410)*0.5))/COUNTA(E153:E154)</f>
        <v>0</v>
      </c>
      <c r="H153" s="205"/>
      <c r="I153" s="28">
        <v>4</v>
      </c>
      <c r="J153" s="30"/>
      <c r="K153" s="30"/>
      <c r="L153" s="30"/>
      <c r="M153" s="27"/>
    </row>
    <row r="154" spans="2:13" ht="33" customHeight="1" outlineLevel="2" x14ac:dyDescent="0.3">
      <c r="B154" s="218"/>
      <c r="C154" s="27" t="s">
        <v>1355</v>
      </c>
      <c r="D154" s="27" t="s">
        <v>2061</v>
      </c>
      <c r="E154" s="28" t="s">
        <v>2074</v>
      </c>
      <c r="F154" s="206"/>
      <c r="G154" s="210"/>
      <c r="H154" s="205"/>
      <c r="I154" s="28">
        <v>4</v>
      </c>
      <c r="J154" s="30"/>
      <c r="K154" s="30"/>
      <c r="L154" s="30"/>
      <c r="M154" s="27"/>
    </row>
    <row r="155" spans="2:13" ht="33" customHeight="1" outlineLevel="1" x14ac:dyDescent="0.3">
      <c r="B155" s="218" t="str">
        <f>'Assesment outcomes'!F15</f>
        <v>Secrets detection</v>
      </c>
      <c r="C155" s="27" t="s">
        <v>140</v>
      </c>
      <c r="D155" s="27" t="s">
        <v>1557</v>
      </c>
      <c r="E155" s="28" t="s">
        <v>2074</v>
      </c>
      <c r="F155" s="29">
        <v>0</v>
      </c>
      <c r="G155" s="39">
        <f>(COUNTIF(E155:E155,$F$406))/COUNTA(E155:E155)</f>
        <v>0</v>
      </c>
      <c r="H155" s="205">
        <f>SUM(G156:G166)/4</f>
        <v>0</v>
      </c>
      <c r="I155" s="28">
        <v>0</v>
      </c>
      <c r="J155" s="30"/>
      <c r="K155" s="30" t="s">
        <v>1323</v>
      </c>
      <c r="L155" s="30"/>
      <c r="M155" s="27"/>
    </row>
    <row r="156" spans="2:13" ht="33" customHeight="1" outlineLevel="2" x14ac:dyDescent="0.3">
      <c r="B156" s="218"/>
      <c r="C156" s="27" t="s">
        <v>141</v>
      </c>
      <c r="D156" s="27" t="s">
        <v>1558</v>
      </c>
      <c r="E156" s="28" t="s">
        <v>2074</v>
      </c>
      <c r="F156" s="206">
        <v>1</v>
      </c>
      <c r="G156" s="210">
        <f>(COUNTIF(E156:E159,$F$411)+(COUNTIF(E156:E159,$F$410)*0.5))/(COUNTA(E156:E159)-COUNTIF(E156:E159,$F$412))</f>
        <v>0</v>
      </c>
      <c r="H156" s="205"/>
      <c r="I156" s="28">
        <v>1</v>
      </c>
      <c r="J156" s="30"/>
      <c r="K156" s="30" t="s">
        <v>1323</v>
      </c>
      <c r="L156" s="30"/>
      <c r="M156" s="27"/>
    </row>
    <row r="157" spans="2:13" ht="33" customHeight="1" outlineLevel="2" x14ac:dyDescent="0.3">
      <c r="B157" s="218"/>
      <c r="C157" s="27" t="s">
        <v>142</v>
      </c>
      <c r="D157" s="27" t="s">
        <v>1559</v>
      </c>
      <c r="E157" s="28" t="s">
        <v>2074</v>
      </c>
      <c r="F157" s="206"/>
      <c r="G157" s="210"/>
      <c r="H157" s="205"/>
      <c r="I157" s="28">
        <v>1</v>
      </c>
      <c r="J157" s="30"/>
      <c r="K157" s="30"/>
      <c r="L157" s="30"/>
      <c r="M157" s="27"/>
    </row>
    <row r="158" spans="2:13" ht="33" customHeight="1" outlineLevel="2" x14ac:dyDescent="0.3">
      <c r="B158" s="218"/>
      <c r="C158" s="27" t="s">
        <v>143</v>
      </c>
      <c r="D158" s="27" t="s">
        <v>1560</v>
      </c>
      <c r="E158" s="28" t="s">
        <v>2074</v>
      </c>
      <c r="F158" s="206"/>
      <c r="G158" s="210"/>
      <c r="H158" s="205"/>
      <c r="I158" s="28">
        <v>1</v>
      </c>
      <c r="J158" s="30"/>
      <c r="K158" s="30"/>
      <c r="L158" s="30"/>
      <c r="M158" s="27"/>
    </row>
    <row r="159" spans="2:13" ht="33" customHeight="1" outlineLevel="2" x14ac:dyDescent="0.3">
      <c r="B159" s="218"/>
      <c r="C159" s="27" t="s">
        <v>144</v>
      </c>
      <c r="D159" s="27" t="s">
        <v>1561</v>
      </c>
      <c r="E159" s="28" t="s">
        <v>2074</v>
      </c>
      <c r="F159" s="206"/>
      <c r="G159" s="210"/>
      <c r="H159" s="205"/>
      <c r="I159" s="28">
        <v>1</v>
      </c>
      <c r="J159" s="30" t="s">
        <v>656</v>
      </c>
      <c r="K159" s="30"/>
      <c r="L159" s="30" t="s">
        <v>688</v>
      </c>
      <c r="M159" s="27"/>
    </row>
    <row r="160" spans="2:13" ht="33" customHeight="1" outlineLevel="2" x14ac:dyDescent="0.3">
      <c r="B160" s="218"/>
      <c r="C160" s="27" t="s">
        <v>145</v>
      </c>
      <c r="D160" s="27" t="s">
        <v>1562</v>
      </c>
      <c r="E160" s="28" t="s">
        <v>2074</v>
      </c>
      <c r="F160" s="206">
        <v>2</v>
      </c>
      <c r="G160" s="210">
        <f>(COUNTIF(E160:E162,$F$411)+(COUNTIF(E160:E162,$F$410)*0.5))/(COUNTA(E160:E162)-COUNTIF(E160:E162,$F$412))</f>
        <v>0</v>
      </c>
      <c r="H160" s="205"/>
      <c r="I160" s="28">
        <v>2</v>
      </c>
      <c r="J160" s="30"/>
      <c r="K160" s="30" t="s">
        <v>1323</v>
      </c>
      <c r="L160" s="30"/>
      <c r="M160" s="27"/>
    </row>
    <row r="161" spans="2:13" ht="33" customHeight="1" outlineLevel="2" x14ac:dyDescent="0.3">
      <c r="B161" s="218"/>
      <c r="C161" s="27" t="s">
        <v>146</v>
      </c>
      <c r="D161" s="27" t="s">
        <v>1563</v>
      </c>
      <c r="E161" s="28" t="s">
        <v>2074</v>
      </c>
      <c r="F161" s="206"/>
      <c r="G161" s="210"/>
      <c r="H161" s="205"/>
      <c r="I161" s="28">
        <v>2</v>
      </c>
      <c r="J161" s="30" t="s">
        <v>113</v>
      </c>
      <c r="K161" s="30"/>
      <c r="L161" s="30"/>
      <c r="M161" s="27"/>
    </row>
    <row r="162" spans="2:13" ht="33" customHeight="1" outlineLevel="2" x14ac:dyDescent="0.3">
      <c r="B162" s="218"/>
      <c r="C162" s="27" t="s">
        <v>147</v>
      </c>
      <c r="D162" s="27" t="s">
        <v>1564</v>
      </c>
      <c r="E162" s="28" t="s">
        <v>2074</v>
      </c>
      <c r="F162" s="206"/>
      <c r="G162" s="210"/>
      <c r="H162" s="205"/>
      <c r="I162" s="28">
        <v>2</v>
      </c>
      <c r="J162" s="30"/>
      <c r="K162" s="30"/>
      <c r="L162" s="30" t="s">
        <v>689</v>
      </c>
      <c r="M162" s="27"/>
    </row>
    <row r="163" spans="2:13" ht="33" customHeight="1" outlineLevel="2" x14ac:dyDescent="0.3">
      <c r="B163" s="218"/>
      <c r="C163" s="27" t="s">
        <v>148</v>
      </c>
      <c r="D163" s="27" t="s">
        <v>1565</v>
      </c>
      <c r="E163" s="28" t="s">
        <v>2074</v>
      </c>
      <c r="F163" s="206">
        <v>3</v>
      </c>
      <c r="G163" s="210">
        <f>(COUNTIF(E163:E165,$F$411)+(COUNTIF(E163:E165,$F$410)*0.5))/(COUNTA(E163:E165)-COUNTIF(E163:E165,$F$412))</f>
        <v>0</v>
      </c>
      <c r="H163" s="205"/>
      <c r="I163" s="28">
        <v>3</v>
      </c>
      <c r="J163" s="30"/>
      <c r="K163" s="30"/>
      <c r="L163" s="30"/>
      <c r="M163" s="27"/>
    </row>
    <row r="164" spans="2:13" ht="33" customHeight="1" outlineLevel="2" x14ac:dyDescent="0.3">
      <c r="B164" s="218"/>
      <c r="C164" s="27" t="s">
        <v>149</v>
      </c>
      <c r="D164" s="27" t="s">
        <v>1566</v>
      </c>
      <c r="E164" s="28" t="s">
        <v>2074</v>
      </c>
      <c r="F164" s="206"/>
      <c r="G164" s="210"/>
      <c r="H164" s="205"/>
      <c r="I164" s="28">
        <v>3</v>
      </c>
      <c r="J164" s="30"/>
      <c r="K164" s="30"/>
      <c r="L164" s="30"/>
      <c r="M164" s="27"/>
    </row>
    <row r="165" spans="2:13" ht="33" customHeight="1" outlineLevel="2" x14ac:dyDescent="0.3">
      <c r="B165" s="218"/>
      <c r="C165" s="27" t="s">
        <v>876</v>
      </c>
      <c r="D165" s="27" t="s">
        <v>1567</v>
      </c>
      <c r="E165" s="28" t="s">
        <v>2074</v>
      </c>
      <c r="F165" s="206"/>
      <c r="G165" s="210"/>
      <c r="H165" s="205"/>
      <c r="I165" s="28">
        <v>3</v>
      </c>
      <c r="J165" s="30"/>
      <c r="K165" s="30"/>
      <c r="L165" s="30"/>
      <c r="M165" s="27"/>
    </row>
    <row r="166" spans="2:13" ht="33" customHeight="1" outlineLevel="2" x14ac:dyDescent="0.3">
      <c r="B166" s="218"/>
      <c r="C166" s="27" t="s">
        <v>150</v>
      </c>
      <c r="D166" s="27" t="s">
        <v>1568</v>
      </c>
      <c r="E166" s="28" t="s">
        <v>2074</v>
      </c>
      <c r="F166" s="29">
        <v>4</v>
      </c>
      <c r="G166" s="39">
        <f>(COUNTIF(E166,$F$411)+(COUNTIF(E166,$F$410)*0.5))/COUNTA(E166)</f>
        <v>0</v>
      </c>
      <c r="H166" s="205"/>
      <c r="I166" s="28">
        <v>5</v>
      </c>
      <c r="J166" s="30"/>
      <c r="K166" s="30"/>
      <c r="L166" s="30" t="s">
        <v>690</v>
      </c>
      <c r="M166" s="27"/>
    </row>
    <row r="167" spans="2:13" ht="33" customHeight="1" outlineLevel="1" x14ac:dyDescent="0.3">
      <c r="B167" s="218" t="str">
        <f>'Assesment outcomes'!F16</f>
        <v>Dockerfiles analysis</v>
      </c>
      <c r="C167" s="27" t="s">
        <v>151</v>
      </c>
      <c r="D167" s="27" t="s">
        <v>1569</v>
      </c>
      <c r="E167" s="28" t="s">
        <v>2074</v>
      </c>
      <c r="F167" s="29">
        <v>0</v>
      </c>
      <c r="G167" s="39">
        <f>(COUNTIF(E167:E167,$F$406))/COUNTA(E167:E167)</f>
        <v>0</v>
      </c>
      <c r="H167" s="205">
        <f>SUM(G168:G170)/2</f>
        <v>0</v>
      </c>
      <c r="I167" s="28">
        <v>0</v>
      </c>
      <c r="J167" s="30"/>
      <c r="K167" s="30"/>
      <c r="L167" s="30"/>
      <c r="M167" s="27"/>
    </row>
    <row r="168" spans="2:13" ht="33" customHeight="1" outlineLevel="2" x14ac:dyDescent="0.3">
      <c r="B168" s="218"/>
      <c r="C168" s="27" t="s">
        <v>152</v>
      </c>
      <c r="D168" s="27" t="s">
        <v>1570</v>
      </c>
      <c r="E168" s="28" t="s">
        <v>2074</v>
      </c>
      <c r="F168" s="206">
        <v>1</v>
      </c>
      <c r="G168" s="210">
        <f>(COUNTIF(E168:E169,$F$411)+(COUNTIF(E168:E169,$F$410)*0.5))/(COUNTA(E168:E169)-COUNTIF(E168:E169,$F$412))</f>
        <v>0</v>
      </c>
      <c r="H168" s="205"/>
      <c r="I168" s="28">
        <v>1</v>
      </c>
      <c r="J168" s="30"/>
      <c r="K168" s="30"/>
      <c r="L168" s="30"/>
      <c r="M168" s="27"/>
    </row>
    <row r="169" spans="2:13" ht="33" customHeight="1" outlineLevel="2" x14ac:dyDescent="0.3">
      <c r="B169" s="218"/>
      <c r="C169" s="27" t="s">
        <v>153</v>
      </c>
      <c r="D169" s="27" t="s">
        <v>1571</v>
      </c>
      <c r="E169" s="28" t="s">
        <v>2074</v>
      </c>
      <c r="F169" s="206"/>
      <c r="G169" s="210"/>
      <c r="H169" s="205"/>
      <c r="I169" s="28">
        <v>1</v>
      </c>
      <c r="J169" s="30"/>
      <c r="K169" s="30"/>
      <c r="L169" s="30"/>
      <c r="M169" s="27"/>
    </row>
    <row r="170" spans="2:13" ht="33" customHeight="1" outlineLevel="2" x14ac:dyDescent="0.3">
      <c r="B170" s="218"/>
      <c r="C170" s="27" t="s">
        <v>154</v>
      </c>
      <c r="D170" s="27" t="s">
        <v>1572</v>
      </c>
      <c r="E170" s="28" t="s">
        <v>2074</v>
      </c>
      <c r="F170" s="29">
        <v>2</v>
      </c>
      <c r="G170" s="39">
        <f>(COUNTIF(E170,$F$411)+(COUNTIF(E170,$F$410)*0.5))/COUNTA(E170)</f>
        <v>0</v>
      </c>
      <c r="H170" s="205"/>
      <c r="I170" s="28">
        <v>2</v>
      </c>
      <c r="J170" s="30"/>
      <c r="K170" s="30"/>
      <c r="L170" s="30"/>
      <c r="M170" s="27"/>
    </row>
    <row r="171" spans="2:13" customFormat="1" ht="6" customHeight="1" outlineLevel="1" x14ac:dyDescent="0.25"/>
    <row r="172" spans="2:13" ht="33" customHeight="1" x14ac:dyDescent="0.3">
      <c r="B172" s="214" t="s">
        <v>2082</v>
      </c>
      <c r="C172" s="214"/>
      <c r="D172" s="214"/>
      <c r="E172" s="214"/>
      <c r="F172" s="214"/>
      <c r="G172" s="214"/>
      <c r="H172" s="214"/>
      <c r="I172" s="214"/>
      <c r="J172" s="214"/>
      <c r="K172" s="214"/>
      <c r="L172" s="214"/>
      <c r="M172" s="214"/>
    </row>
    <row r="173" spans="2:13" ht="33" customHeight="1" outlineLevel="1" x14ac:dyDescent="0.3">
      <c r="B173" s="218" t="str">
        <f>'Assesment outcomes'!F17</f>
        <v>Dynamic Application Security testing (DAST) in PREPROD environment</v>
      </c>
      <c r="C173" s="27" t="s">
        <v>155</v>
      </c>
      <c r="D173" s="27" t="s">
        <v>1573</v>
      </c>
      <c r="E173" s="28" t="s">
        <v>2074</v>
      </c>
      <c r="F173" s="29">
        <v>0</v>
      </c>
      <c r="G173" s="39">
        <f>(COUNTIF(E173:E173,$F$406))/COUNTA(E173:E173)</f>
        <v>0</v>
      </c>
      <c r="H173" s="205">
        <f>SUM(G174:G186)/4</f>
        <v>0</v>
      </c>
      <c r="I173" s="28">
        <v>0</v>
      </c>
      <c r="J173" s="30"/>
      <c r="K173" s="30" t="s">
        <v>1324</v>
      </c>
      <c r="L173" s="30" t="s">
        <v>685</v>
      </c>
      <c r="M173" s="27"/>
    </row>
    <row r="174" spans="2:13" ht="33" customHeight="1" outlineLevel="2" x14ac:dyDescent="0.3">
      <c r="B174" s="218"/>
      <c r="C174" s="27" t="s">
        <v>156</v>
      </c>
      <c r="D174" s="27" t="s">
        <v>1574</v>
      </c>
      <c r="E174" s="28" t="s">
        <v>2074</v>
      </c>
      <c r="F174" s="206">
        <v>1</v>
      </c>
      <c r="G174" s="210">
        <f>(COUNTIF(E174:E175,$F$411)+(COUNTIF(E174:E175,$F$410)*0.5))/(COUNTA(E174:E175)-COUNTIF(E174:E175,$F$412))</f>
        <v>0</v>
      </c>
      <c r="H174" s="205"/>
      <c r="I174" s="28">
        <v>3</v>
      </c>
      <c r="J174" s="30"/>
      <c r="K174" s="30" t="s">
        <v>1324</v>
      </c>
      <c r="L174" s="30" t="s">
        <v>685</v>
      </c>
      <c r="M174" s="27"/>
    </row>
    <row r="175" spans="2:13" ht="33" customHeight="1" outlineLevel="2" x14ac:dyDescent="0.3">
      <c r="B175" s="218"/>
      <c r="C175" s="27" t="s">
        <v>157</v>
      </c>
      <c r="D175" s="27" t="s">
        <v>1575</v>
      </c>
      <c r="E175" s="28" t="s">
        <v>2074</v>
      </c>
      <c r="F175" s="206"/>
      <c r="G175" s="210"/>
      <c r="H175" s="205"/>
      <c r="I175" s="28">
        <v>3</v>
      </c>
      <c r="J175" s="30"/>
      <c r="K175" s="30"/>
      <c r="L175" s="30"/>
      <c r="M175" s="27"/>
    </row>
    <row r="176" spans="2:13" ht="33" customHeight="1" outlineLevel="2" x14ac:dyDescent="0.3">
      <c r="B176" s="218"/>
      <c r="C176" s="27" t="s">
        <v>158</v>
      </c>
      <c r="D176" s="27" t="s">
        <v>1576</v>
      </c>
      <c r="E176" s="28" t="s">
        <v>2074</v>
      </c>
      <c r="F176" s="206">
        <v>2</v>
      </c>
      <c r="G176" s="210">
        <f>(COUNTIF(E176:E179,$F$411)+(COUNTIF(E176:E179,$F$410)*0.5))/(COUNTA(E176:E179)-COUNTIF(E176:E179,$F$412))</f>
        <v>0</v>
      </c>
      <c r="H176" s="205"/>
      <c r="I176" s="28">
        <v>4</v>
      </c>
      <c r="J176" s="30"/>
      <c r="K176" s="30"/>
      <c r="L176" s="30" t="s">
        <v>687</v>
      </c>
      <c r="M176" s="27"/>
    </row>
    <row r="177" spans="2:13" ht="33" customHeight="1" outlineLevel="2" x14ac:dyDescent="0.3">
      <c r="B177" s="218"/>
      <c r="C177" s="27" t="s">
        <v>159</v>
      </c>
      <c r="D177" s="27" t="s">
        <v>1577</v>
      </c>
      <c r="E177" s="28" t="s">
        <v>2074</v>
      </c>
      <c r="F177" s="206"/>
      <c r="G177" s="210"/>
      <c r="H177" s="205"/>
      <c r="I177" s="28">
        <v>4</v>
      </c>
      <c r="J177" s="30" t="s">
        <v>161</v>
      </c>
      <c r="K177" s="30" t="s">
        <v>1325</v>
      </c>
      <c r="L177" s="30"/>
      <c r="M177" s="27"/>
    </row>
    <row r="178" spans="2:13" ht="33" customHeight="1" outlineLevel="2" x14ac:dyDescent="0.3">
      <c r="B178" s="218"/>
      <c r="C178" s="27" t="s">
        <v>160</v>
      </c>
      <c r="D178" s="27" t="s">
        <v>1578</v>
      </c>
      <c r="E178" s="28" t="s">
        <v>2074</v>
      </c>
      <c r="F178" s="206"/>
      <c r="G178" s="210"/>
      <c r="H178" s="205"/>
      <c r="I178" s="28">
        <v>4</v>
      </c>
      <c r="J178" s="30" t="s">
        <v>161</v>
      </c>
      <c r="K178" s="30"/>
      <c r="L178" s="30"/>
      <c r="M178" s="27"/>
    </row>
    <row r="179" spans="2:13" ht="33" customHeight="1" outlineLevel="2" x14ac:dyDescent="0.3">
      <c r="B179" s="218"/>
      <c r="C179" s="27" t="s">
        <v>162</v>
      </c>
      <c r="D179" s="27" t="s">
        <v>1579</v>
      </c>
      <c r="E179" s="28" t="s">
        <v>2074</v>
      </c>
      <c r="F179" s="206"/>
      <c r="G179" s="210"/>
      <c r="H179" s="205"/>
      <c r="I179" s="28">
        <v>4</v>
      </c>
      <c r="J179" s="30"/>
      <c r="K179" s="30"/>
      <c r="L179" s="30" t="s">
        <v>686</v>
      </c>
      <c r="M179" s="27"/>
    </row>
    <row r="180" spans="2:13" ht="33" customHeight="1" outlineLevel="2" x14ac:dyDescent="0.3">
      <c r="B180" s="218"/>
      <c r="C180" s="27" t="s">
        <v>163</v>
      </c>
      <c r="D180" s="27" t="s">
        <v>1580</v>
      </c>
      <c r="E180" s="28" t="s">
        <v>2074</v>
      </c>
      <c r="F180" s="206">
        <v>3</v>
      </c>
      <c r="G180" s="210">
        <f>(COUNTIF(E180:E183,$F$411)+(COUNTIF(E180:E183,$F$410)*0.5))/(COUNTA(E180:E183)-COUNTIF(E180:E183,$F$412))</f>
        <v>0</v>
      </c>
      <c r="H180" s="205"/>
      <c r="I180" s="28">
        <v>5</v>
      </c>
      <c r="J180" s="30"/>
      <c r="K180" s="30" t="s">
        <v>1326</v>
      </c>
      <c r="L180" s="30"/>
      <c r="M180" s="27"/>
    </row>
    <row r="181" spans="2:13" ht="33" customHeight="1" outlineLevel="2" x14ac:dyDescent="0.3">
      <c r="B181" s="218"/>
      <c r="C181" s="27" t="s">
        <v>164</v>
      </c>
      <c r="D181" s="27" t="s">
        <v>1581</v>
      </c>
      <c r="E181" s="28" t="s">
        <v>2074</v>
      </c>
      <c r="F181" s="206"/>
      <c r="G181" s="210"/>
      <c r="H181" s="205"/>
      <c r="I181" s="28">
        <v>5</v>
      </c>
      <c r="J181" s="30"/>
      <c r="K181" s="30" t="s">
        <v>1327</v>
      </c>
      <c r="L181" s="30" t="s">
        <v>687</v>
      </c>
      <c r="M181" s="27"/>
    </row>
    <row r="182" spans="2:13" ht="33" customHeight="1" outlineLevel="2" x14ac:dyDescent="0.3">
      <c r="B182" s="218"/>
      <c r="C182" s="27" t="s">
        <v>165</v>
      </c>
      <c r="D182" s="27" t="s">
        <v>1582</v>
      </c>
      <c r="E182" s="28" t="s">
        <v>2074</v>
      </c>
      <c r="F182" s="206"/>
      <c r="G182" s="210"/>
      <c r="H182" s="205"/>
      <c r="I182" s="28">
        <v>5</v>
      </c>
      <c r="J182" s="30"/>
      <c r="K182" s="30" t="s">
        <v>1328</v>
      </c>
      <c r="L182" s="30" t="s">
        <v>694</v>
      </c>
      <c r="M182" s="27"/>
    </row>
    <row r="183" spans="2:13" ht="33" customHeight="1" outlineLevel="2" x14ac:dyDescent="0.3">
      <c r="B183" s="218"/>
      <c r="C183" s="27" t="s">
        <v>166</v>
      </c>
      <c r="D183" s="27" t="s">
        <v>1583</v>
      </c>
      <c r="E183" s="28" t="s">
        <v>2074</v>
      </c>
      <c r="F183" s="206"/>
      <c r="G183" s="210"/>
      <c r="H183" s="205"/>
      <c r="I183" s="28">
        <v>5</v>
      </c>
      <c r="J183" s="30" t="s">
        <v>167</v>
      </c>
      <c r="K183" s="30"/>
      <c r="L183" s="30"/>
      <c r="M183" s="27"/>
    </row>
    <row r="184" spans="2:13" ht="33" customHeight="1" outlineLevel="2" x14ac:dyDescent="0.3">
      <c r="B184" s="218"/>
      <c r="C184" s="27" t="s">
        <v>168</v>
      </c>
      <c r="D184" s="27" t="s">
        <v>1584</v>
      </c>
      <c r="E184" s="28" t="s">
        <v>2074</v>
      </c>
      <c r="F184" s="206">
        <v>4</v>
      </c>
      <c r="G184" s="210">
        <f>(COUNTIF(E184:E186,$F$411)+(COUNTIF(E184:E186,$F$410)*0.5))/(COUNTA(E184:E186)-COUNTIF(E184:E186,$F$412))</f>
        <v>0</v>
      </c>
      <c r="H184" s="205"/>
      <c r="I184" s="28">
        <v>6</v>
      </c>
      <c r="J184" s="30"/>
      <c r="K184" s="30" t="s">
        <v>1329</v>
      </c>
      <c r="L184" s="30"/>
      <c r="M184" s="27"/>
    </row>
    <row r="185" spans="2:13" ht="33" customHeight="1" outlineLevel="2" x14ac:dyDescent="0.3">
      <c r="B185" s="218"/>
      <c r="C185" s="27" t="s">
        <v>169</v>
      </c>
      <c r="D185" s="27" t="s">
        <v>1585</v>
      </c>
      <c r="E185" s="28" t="s">
        <v>2074</v>
      </c>
      <c r="F185" s="206"/>
      <c r="G185" s="210"/>
      <c r="H185" s="205"/>
      <c r="I185" s="28">
        <v>6</v>
      </c>
      <c r="J185" s="30"/>
      <c r="K185" s="30" t="s">
        <v>1330</v>
      </c>
      <c r="L185" s="30" t="s">
        <v>685</v>
      </c>
      <c r="M185" s="27"/>
    </row>
    <row r="186" spans="2:13" ht="33" customHeight="1" outlineLevel="2" x14ac:dyDescent="0.3">
      <c r="B186" s="218"/>
      <c r="C186" s="27" t="s">
        <v>170</v>
      </c>
      <c r="D186" s="27" t="s">
        <v>1586</v>
      </c>
      <c r="E186" s="28" t="s">
        <v>2074</v>
      </c>
      <c r="F186" s="206"/>
      <c r="G186" s="210"/>
      <c r="H186" s="205"/>
      <c r="I186" s="28">
        <v>6</v>
      </c>
      <c r="J186" s="30"/>
      <c r="K186" s="30" t="s">
        <v>1331</v>
      </c>
      <c r="L186" s="30" t="s">
        <v>692</v>
      </c>
      <c r="M186" s="27"/>
    </row>
    <row r="187" spans="2:13" ht="33" customHeight="1" outlineLevel="1" x14ac:dyDescent="0.3">
      <c r="B187" s="218" t="str">
        <f>'Assesment outcomes'!F18</f>
        <v>Pre-Release software penetration testing</v>
      </c>
      <c r="C187" s="27" t="s">
        <v>171</v>
      </c>
      <c r="D187" s="27" t="s">
        <v>1587</v>
      </c>
      <c r="E187" s="28" t="s">
        <v>2074</v>
      </c>
      <c r="F187" s="29">
        <v>0</v>
      </c>
      <c r="G187" s="39">
        <f>(COUNTIF(E187:E187,$F$406))/COUNTA(E187:E187)</f>
        <v>0</v>
      </c>
      <c r="H187" s="205">
        <f>SUM(G188:G192)/2</f>
        <v>0</v>
      </c>
      <c r="I187" s="28">
        <v>0</v>
      </c>
      <c r="J187" s="30"/>
      <c r="K187" s="30"/>
      <c r="L187" s="30" t="s">
        <v>691</v>
      </c>
      <c r="M187" s="27"/>
    </row>
    <row r="188" spans="2:13" ht="33" customHeight="1" outlineLevel="2" x14ac:dyDescent="0.3">
      <c r="B188" s="218"/>
      <c r="C188" s="27" t="s">
        <v>172</v>
      </c>
      <c r="D188" s="27" t="s">
        <v>1588</v>
      </c>
      <c r="E188" s="28" t="s">
        <v>2074</v>
      </c>
      <c r="F188" s="206">
        <v>1</v>
      </c>
      <c r="G188" s="210">
        <f>(COUNTIF(E188:E190,$F$411)+(COUNTIF(E188:E190,$F$410)*0.5))/(COUNTA(E188:E190)-COUNTIF(E188:E190,$F$412))</f>
        <v>0</v>
      </c>
      <c r="H188" s="205"/>
      <c r="I188" s="28">
        <v>1</v>
      </c>
      <c r="J188" s="30"/>
      <c r="K188" s="30"/>
      <c r="L188" s="30" t="s">
        <v>691</v>
      </c>
      <c r="M188" s="27"/>
    </row>
    <row r="189" spans="2:13" ht="33" customHeight="1" outlineLevel="2" x14ac:dyDescent="0.3">
      <c r="B189" s="218"/>
      <c r="C189" s="27" t="s">
        <v>174</v>
      </c>
      <c r="D189" s="27" t="s">
        <v>1589</v>
      </c>
      <c r="E189" s="28" t="s">
        <v>2074</v>
      </c>
      <c r="F189" s="206"/>
      <c r="G189" s="210"/>
      <c r="H189" s="205"/>
      <c r="I189" s="28">
        <v>1</v>
      </c>
      <c r="J189" s="30"/>
      <c r="K189" s="30"/>
      <c r="L189" s="30" t="s">
        <v>703</v>
      </c>
      <c r="M189" s="27"/>
    </row>
    <row r="190" spans="2:13" ht="33" customHeight="1" outlineLevel="2" x14ac:dyDescent="0.3">
      <c r="B190" s="218"/>
      <c r="C190" s="27" t="s">
        <v>175</v>
      </c>
      <c r="D190" s="27" t="s">
        <v>1590</v>
      </c>
      <c r="E190" s="28" t="s">
        <v>2074</v>
      </c>
      <c r="F190" s="206"/>
      <c r="G190" s="210"/>
      <c r="H190" s="205"/>
      <c r="I190" s="28">
        <v>1</v>
      </c>
      <c r="J190" s="30" t="s">
        <v>394</v>
      </c>
      <c r="K190" s="30"/>
      <c r="L190" s="30" t="s">
        <v>703</v>
      </c>
      <c r="M190" s="27"/>
    </row>
    <row r="191" spans="2:13" ht="33" customHeight="1" outlineLevel="2" x14ac:dyDescent="0.3">
      <c r="B191" s="218"/>
      <c r="C191" s="27" t="s">
        <v>176</v>
      </c>
      <c r="D191" s="27" t="s">
        <v>1591</v>
      </c>
      <c r="E191" s="28" t="s">
        <v>2074</v>
      </c>
      <c r="F191" s="29">
        <v>2</v>
      </c>
      <c r="G191" s="39">
        <f>(COUNTIF(E191,$F$411)+(COUNTIF(E191,$F$410)*0.5))/COUNTA(E191)</f>
        <v>0</v>
      </c>
      <c r="H191" s="205"/>
      <c r="I191" s="28">
        <v>2</v>
      </c>
      <c r="J191" s="30"/>
      <c r="K191" s="30"/>
      <c r="L191" s="30"/>
      <c r="M191" s="27"/>
    </row>
    <row r="192" spans="2:13" ht="33" customHeight="1" outlineLevel="2" x14ac:dyDescent="0.3">
      <c r="B192" s="218"/>
      <c r="C192" s="27" t="s">
        <v>177</v>
      </c>
      <c r="D192" s="27" t="s">
        <v>1592</v>
      </c>
      <c r="E192" s="28" t="s">
        <v>2074</v>
      </c>
      <c r="F192" s="29">
        <v>4</v>
      </c>
      <c r="G192" s="39">
        <f>(COUNTIF(E192,$F$411)+(COUNTIF(E192,$F$410)*0.5))/COUNTA(E192)</f>
        <v>0</v>
      </c>
      <c r="H192" s="205"/>
      <c r="I192" s="28">
        <v>6</v>
      </c>
      <c r="J192" s="30"/>
      <c r="K192" s="30"/>
      <c r="L192" s="30"/>
      <c r="M192" s="27"/>
    </row>
    <row r="193" spans="2:13" ht="33" customHeight="1" outlineLevel="1" x14ac:dyDescent="0.3">
      <c r="B193" s="218" t="str">
        <f>'Assesment outcomes'!F19</f>
        <v>Functional security testing</v>
      </c>
      <c r="C193" s="27" t="s">
        <v>178</v>
      </c>
      <c r="D193" s="27" t="s">
        <v>1593</v>
      </c>
      <c r="E193" s="28" t="s">
        <v>2074</v>
      </c>
      <c r="F193" s="29">
        <v>0</v>
      </c>
      <c r="G193" s="39">
        <f>(COUNTIF(E193:E193,$F$406))/COUNTA(E193:E193)</f>
        <v>0</v>
      </c>
      <c r="H193" s="205">
        <f>SUM(G194:G197)/3</f>
        <v>0</v>
      </c>
      <c r="I193" s="28">
        <v>0</v>
      </c>
      <c r="J193" s="30"/>
      <c r="K193" s="30" t="s">
        <v>1332</v>
      </c>
      <c r="L193" s="30" t="s">
        <v>685</v>
      </c>
      <c r="M193" s="27"/>
    </row>
    <row r="194" spans="2:13" ht="33" customHeight="1" outlineLevel="2" x14ac:dyDescent="0.3">
      <c r="B194" s="218"/>
      <c r="C194" s="27" t="s">
        <v>179</v>
      </c>
      <c r="D194" s="27" t="s">
        <v>1594</v>
      </c>
      <c r="E194" s="28" t="s">
        <v>2074</v>
      </c>
      <c r="F194" s="29">
        <v>1</v>
      </c>
      <c r="G194" s="39">
        <f>(COUNTIF(E194,$F$411)+(COUNTIF(E194,$F$410)*0.5))/COUNTA(E194)</f>
        <v>0</v>
      </c>
      <c r="H194" s="205"/>
      <c r="I194" s="28">
        <v>1</v>
      </c>
      <c r="J194" s="30"/>
      <c r="K194" s="30"/>
      <c r="L194" s="30" t="s">
        <v>693</v>
      </c>
      <c r="M194" s="27"/>
    </row>
    <row r="195" spans="2:13" ht="33" customHeight="1" outlineLevel="2" x14ac:dyDescent="0.3">
      <c r="B195" s="218"/>
      <c r="C195" s="27" t="s">
        <v>181</v>
      </c>
      <c r="D195" s="27" t="s">
        <v>1595</v>
      </c>
      <c r="E195" s="28" t="s">
        <v>2074</v>
      </c>
      <c r="F195" s="206">
        <v>2</v>
      </c>
      <c r="G195" s="210">
        <f>(COUNTIF(E195:E196,$F$411)+(COUNTIF(E195:E196,$F$410)*0.5))/(COUNTA(E195:E196)-COUNTIF(E195:E196,$F$412))</f>
        <v>0</v>
      </c>
      <c r="H195" s="205"/>
      <c r="I195" s="28">
        <v>2</v>
      </c>
      <c r="J195" s="30" t="s">
        <v>391</v>
      </c>
      <c r="K195" s="30"/>
      <c r="L195" s="30" t="s">
        <v>400</v>
      </c>
      <c r="M195" s="27"/>
    </row>
    <row r="196" spans="2:13" ht="33" customHeight="1" outlineLevel="2" x14ac:dyDescent="0.3">
      <c r="B196" s="218"/>
      <c r="C196" s="27" t="s">
        <v>182</v>
      </c>
      <c r="D196" s="27" t="s">
        <v>1596</v>
      </c>
      <c r="E196" s="28" t="s">
        <v>2074</v>
      </c>
      <c r="F196" s="206"/>
      <c r="G196" s="210"/>
      <c r="H196" s="205"/>
      <c r="I196" s="28">
        <v>2</v>
      </c>
      <c r="J196" s="30" t="s">
        <v>392</v>
      </c>
      <c r="K196" s="30"/>
      <c r="L196" s="30" t="s">
        <v>693</v>
      </c>
      <c r="M196" s="34"/>
    </row>
    <row r="197" spans="2:13" ht="33" customHeight="1" outlineLevel="2" x14ac:dyDescent="0.3">
      <c r="B197" s="218"/>
      <c r="C197" s="27" t="s">
        <v>183</v>
      </c>
      <c r="D197" s="27" t="s">
        <v>1597</v>
      </c>
      <c r="E197" s="28" t="s">
        <v>2074</v>
      </c>
      <c r="F197" s="29">
        <v>3</v>
      </c>
      <c r="G197" s="39">
        <f>(COUNTIF(E197,$F$411)+(COUNTIF(E197,$F$410)*0.5))/COUNTA(E197)</f>
        <v>0</v>
      </c>
      <c r="H197" s="205"/>
      <c r="I197" s="28">
        <v>6</v>
      </c>
      <c r="J197" s="30" t="s">
        <v>392</v>
      </c>
      <c r="K197" s="30"/>
      <c r="L197" s="30" t="s">
        <v>701</v>
      </c>
      <c r="M197" s="34"/>
    </row>
    <row r="198" spans="2:13" ht="33" customHeight="1" outlineLevel="1" x14ac:dyDescent="0.3">
      <c r="B198" s="218" t="str">
        <f>'Assesment outcomes'!F21</f>
        <v>Vulnerability management (PREPROD Infrastructure)</v>
      </c>
      <c r="C198" s="27" t="s">
        <v>184</v>
      </c>
      <c r="D198" s="27" t="s">
        <v>1598</v>
      </c>
      <c r="E198" s="28" t="s">
        <v>2074</v>
      </c>
      <c r="F198" s="29">
        <v>0</v>
      </c>
      <c r="G198" s="39">
        <f>(COUNTIF(E198:E198,$F$406))/COUNTA(E198:E198)</f>
        <v>0</v>
      </c>
      <c r="H198" s="205">
        <f>SUM(G208:G209)/2</f>
        <v>0</v>
      </c>
      <c r="I198" s="37">
        <v>0</v>
      </c>
      <c r="J198" s="30"/>
      <c r="K198" s="30" t="s">
        <v>1333</v>
      </c>
      <c r="L198" s="30"/>
      <c r="M198" s="27"/>
    </row>
    <row r="199" spans="2:13" ht="33" customHeight="1" outlineLevel="2" x14ac:dyDescent="0.3">
      <c r="B199" s="218"/>
      <c r="C199" s="27" t="s">
        <v>185</v>
      </c>
      <c r="D199" s="27" t="s">
        <v>1599</v>
      </c>
      <c r="E199" s="28" t="s">
        <v>2074</v>
      </c>
      <c r="F199" s="206">
        <v>1</v>
      </c>
      <c r="G199" s="210">
        <f>(COUNTIF(E199:E200,$F$411)+(COUNTIF(E199:E200,$F$410)*0.5))/(COUNTA(E199:E200)-COUNTIF(E199:E200,$F$412))</f>
        <v>0</v>
      </c>
      <c r="H199" s="205"/>
      <c r="I199" s="37">
        <v>2</v>
      </c>
      <c r="J199" s="30"/>
      <c r="K199" s="30"/>
      <c r="L199" s="30"/>
      <c r="M199" s="27"/>
    </row>
    <row r="200" spans="2:13" ht="33" customHeight="1" outlineLevel="2" x14ac:dyDescent="0.3">
      <c r="B200" s="218"/>
      <c r="C200" s="27" t="s">
        <v>186</v>
      </c>
      <c r="D200" s="27" t="s">
        <v>2094</v>
      </c>
      <c r="E200" s="28" t="s">
        <v>2074</v>
      </c>
      <c r="F200" s="206"/>
      <c r="G200" s="210"/>
      <c r="H200" s="205"/>
      <c r="I200" s="37">
        <v>2</v>
      </c>
      <c r="J200" s="30"/>
      <c r="K200" s="30" t="s">
        <v>87</v>
      </c>
      <c r="L200" s="30" t="s">
        <v>704</v>
      </c>
      <c r="M200" s="27"/>
    </row>
    <row r="201" spans="2:13" ht="33" customHeight="1" outlineLevel="2" x14ac:dyDescent="0.3">
      <c r="B201" s="218"/>
      <c r="C201" s="27" t="s">
        <v>187</v>
      </c>
      <c r="D201" s="27" t="s">
        <v>1600</v>
      </c>
      <c r="E201" s="28" t="s">
        <v>2074</v>
      </c>
      <c r="F201" s="206">
        <v>2</v>
      </c>
      <c r="G201" s="210">
        <f>(COUNTIF(E201:E203,$F$411)+(COUNTIF(E201:E203,$F$410)*0.5))/(COUNTA(E201:E203)-COUNTIF(E201:E203,$F$412))</f>
        <v>0</v>
      </c>
      <c r="H201" s="205"/>
      <c r="I201" s="37">
        <v>4</v>
      </c>
      <c r="J201" s="30"/>
      <c r="K201" s="30"/>
      <c r="L201" s="30"/>
      <c r="M201" s="27"/>
    </row>
    <row r="202" spans="2:13" ht="33" customHeight="1" outlineLevel="2" x14ac:dyDescent="0.3">
      <c r="B202" s="218"/>
      <c r="C202" s="27" t="s">
        <v>188</v>
      </c>
      <c r="D202" s="27" t="s">
        <v>1601</v>
      </c>
      <c r="E202" s="28" t="s">
        <v>2074</v>
      </c>
      <c r="F202" s="206"/>
      <c r="G202" s="210"/>
      <c r="H202" s="205"/>
      <c r="I202" s="37">
        <v>4</v>
      </c>
      <c r="J202" s="30" t="s">
        <v>1361</v>
      </c>
      <c r="K202" s="30"/>
      <c r="L202" s="30"/>
      <c r="M202" s="27"/>
    </row>
    <row r="203" spans="2:13" ht="33" customHeight="1" outlineLevel="2" x14ac:dyDescent="0.3">
      <c r="B203" s="218"/>
      <c r="C203" s="27" t="s">
        <v>189</v>
      </c>
      <c r="D203" s="27" t="s">
        <v>1602</v>
      </c>
      <c r="E203" s="28" t="s">
        <v>2074</v>
      </c>
      <c r="F203" s="206"/>
      <c r="G203" s="210"/>
      <c r="H203" s="205"/>
      <c r="I203" s="37">
        <v>4</v>
      </c>
      <c r="J203" s="30"/>
      <c r="K203" s="30"/>
      <c r="L203" s="30" t="s">
        <v>705</v>
      </c>
      <c r="M203" s="27"/>
    </row>
    <row r="204" spans="2:13" ht="33" customHeight="1" outlineLevel="2" x14ac:dyDescent="0.3">
      <c r="B204" s="218"/>
      <c r="C204" s="27" t="s">
        <v>190</v>
      </c>
      <c r="D204" s="27" t="s">
        <v>1603</v>
      </c>
      <c r="E204" s="28" t="s">
        <v>2074</v>
      </c>
      <c r="F204" s="206">
        <v>3</v>
      </c>
      <c r="G204" s="210">
        <f>(COUNTIF(E204:E207,$F$411)+(COUNTIF(E204:E207,$F$410)*0.5))/(COUNTA(E204:E207)-COUNTIF(E204:E207,$F$412))</f>
        <v>0</v>
      </c>
      <c r="H204" s="205"/>
      <c r="I204" s="37">
        <v>5</v>
      </c>
      <c r="J204" s="30"/>
      <c r="K204" s="30"/>
      <c r="L204" s="30"/>
      <c r="M204" s="27"/>
    </row>
    <row r="205" spans="2:13" ht="33" customHeight="1" outlineLevel="2" x14ac:dyDescent="0.3">
      <c r="B205" s="218"/>
      <c r="C205" s="27" t="s">
        <v>191</v>
      </c>
      <c r="D205" s="27" t="s">
        <v>1604</v>
      </c>
      <c r="E205" s="28" t="s">
        <v>2074</v>
      </c>
      <c r="F205" s="206"/>
      <c r="G205" s="210"/>
      <c r="H205" s="205"/>
      <c r="I205" s="37">
        <v>5</v>
      </c>
      <c r="J205" s="30"/>
      <c r="K205" s="30"/>
      <c r="L205" s="30"/>
      <c r="M205" s="27"/>
    </row>
    <row r="206" spans="2:13" ht="33" customHeight="1" outlineLevel="2" x14ac:dyDescent="0.3">
      <c r="B206" s="218"/>
      <c r="C206" s="27" t="s">
        <v>192</v>
      </c>
      <c r="D206" s="27" t="s">
        <v>1605</v>
      </c>
      <c r="E206" s="28" t="s">
        <v>2074</v>
      </c>
      <c r="F206" s="206"/>
      <c r="G206" s="210"/>
      <c r="H206" s="205"/>
      <c r="I206" s="37">
        <v>5</v>
      </c>
      <c r="J206" s="30"/>
      <c r="K206" s="30"/>
      <c r="L206" s="30"/>
      <c r="M206" s="27"/>
    </row>
    <row r="207" spans="2:13" ht="33" customHeight="1" outlineLevel="2" x14ac:dyDescent="0.3">
      <c r="B207" s="218"/>
      <c r="C207" s="27" t="s">
        <v>193</v>
      </c>
      <c r="D207" s="27" t="s">
        <v>1606</v>
      </c>
      <c r="E207" s="28" t="s">
        <v>2074</v>
      </c>
      <c r="F207" s="206"/>
      <c r="G207" s="210"/>
      <c r="H207" s="205"/>
      <c r="I207" s="37">
        <v>5</v>
      </c>
      <c r="J207" s="30"/>
      <c r="K207" s="30"/>
      <c r="L207" s="30"/>
      <c r="M207" s="27"/>
    </row>
    <row r="208" spans="2:13" ht="33" customHeight="1" outlineLevel="2" x14ac:dyDescent="0.3">
      <c r="B208" s="218"/>
      <c r="C208" s="27" t="s">
        <v>194</v>
      </c>
      <c r="D208" s="27" t="s">
        <v>1607</v>
      </c>
      <c r="E208" s="28" t="s">
        <v>2074</v>
      </c>
      <c r="F208" s="206">
        <v>4</v>
      </c>
      <c r="G208" s="210">
        <f>(COUNTIF(E208:E209,$F$411)+(COUNTIF(E208:E209,$F$410)*0.5))/(COUNTA(E208:E209)-COUNTIF(E208:E209,$F$412))</f>
        <v>0</v>
      </c>
      <c r="H208" s="205"/>
      <c r="I208" s="37">
        <v>7</v>
      </c>
      <c r="J208" s="30"/>
      <c r="K208" s="30"/>
      <c r="L208" s="30"/>
      <c r="M208" s="27"/>
    </row>
    <row r="209" spans="2:13" ht="33" customHeight="1" outlineLevel="2" x14ac:dyDescent="0.3">
      <c r="B209" s="218"/>
      <c r="C209" s="27" t="s">
        <v>195</v>
      </c>
      <c r="D209" s="27" t="s">
        <v>1608</v>
      </c>
      <c r="E209" s="28" t="s">
        <v>2074</v>
      </c>
      <c r="F209" s="206"/>
      <c r="G209" s="210"/>
      <c r="H209" s="205"/>
      <c r="I209" s="37">
        <v>7</v>
      </c>
      <c r="J209" s="30"/>
      <c r="K209" s="30"/>
      <c r="L209" s="30" t="s">
        <v>706</v>
      </c>
      <c r="M209" s="27"/>
    </row>
    <row r="210" spans="2:13" ht="33" customHeight="1" outlineLevel="1" x14ac:dyDescent="0.3">
      <c r="B210" s="218" t="str">
        <f>'Assesment outcomes'!F20</f>
        <v>Manifests security management (k8s, terraform etc)</v>
      </c>
      <c r="C210" s="27" t="s">
        <v>196</v>
      </c>
      <c r="D210" s="27" t="s">
        <v>1609</v>
      </c>
      <c r="E210" s="28" t="s">
        <v>2074</v>
      </c>
      <c r="F210" s="29">
        <v>0</v>
      </c>
      <c r="G210" s="39">
        <f>(COUNTIF(E210:E210,$F$406))/COUNTA(E210:E210)</f>
        <v>0</v>
      </c>
      <c r="H210" s="205">
        <f>SUM(G211:G212)/2</f>
        <v>0</v>
      </c>
      <c r="I210" s="28">
        <v>0</v>
      </c>
      <c r="J210" s="30"/>
      <c r="K210" s="30"/>
      <c r="L210" s="30" t="s">
        <v>707</v>
      </c>
      <c r="M210" s="27"/>
    </row>
    <row r="211" spans="2:13" ht="33" customHeight="1" outlineLevel="2" x14ac:dyDescent="0.3">
      <c r="B211" s="218"/>
      <c r="C211" s="27" t="s">
        <v>197</v>
      </c>
      <c r="D211" s="27" t="s">
        <v>1610</v>
      </c>
      <c r="E211" s="28" t="s">
        <v>2074</v>
      </c>
      <c r="F211" s="29">
        <v>1</v>
      </c>
      <c r="G211" s="39">
        <f>(COUNTIF(E211,$F$411)+(COUNTIF(E211,$F$410)*0.5))/COUNTA(E211)</f>
        <v>0</v>
      </c>
      <c r="H211" s="205"/>
      <c r="I211" s="28">
        <v>2</v>
      </c>
      <c r="J211" s="30"/>
      <c r="K211" s="30"/>
      <c r="L211" s="30"/>
      <c r="M211" s="27"/>
    </row>
    <row r="212" spans="2:13" ht="33" customHeight="1" outlineLevel="2" x14ac:dyDescent="0.3">
      <c r="B212" s="218"/>
      <c r="C212" s="27" t="s">
        <v>198</v>
      </c>
      <c r="D212" s="27" t="s">
        <v>1611</v>
      </c>
      <c r="E212" s="28" t="s">
        <v>2074</v>
      </c>
      <c r="F212" s="29">
        <v>2</v>
      </c>
      <c r="G212" s="39">
        <f>(COUNTIF(E212,$F$411)+(COUNTIF(E212,$F$410)*0.5))/COUNTA(E212)</f>
        <v>0</v>
      </c>
      <c r="H212" s="205"/>
      <c r="I212" s="28">
        <v>3</v>
      </c>
      <c r="J212" s="30" t="s">
        <v>199</v>
      </c>
      <c r="K212" s="30"/>
      <c r="L212" s="30"/>
      <c r="M212" s="27"/>
    </row>
    <row r="213" spans="2:13" customFormat="1" ht="6" customHeight="1" outlineLevel="1" x14ac:dyDescent="0.25"/>
    <row r="214" spans="2:13" ht="33" customHeight="1" x14ac:dyDescent="0.3">
      <c r="B214" s="216" t="s">
        <v>2083</v>
      </c>
      <c r="C214" s="216"/>
      <c r="D214" s="216"/>
      <c r="E214" s="216"/>
      <c r="F214" s="216"/>
      <c r="G214" s="216"/>
      <c r="H214" s="216"/>
      <c r="I214" s="216"/>
      <c r="J214" s="216"/>
      <c r="K214" s="216"/>
      <c r="L214" s="216"/>
      <c r="M214" s="216"/>
    </row>
    <row r="215" spans="2:13" ht="33" customHeight="1" outlineLevel="1" x14ac:dyDescent="0.3">
      <c r="B215" s="218" t="str">
        <f>'Assesment outcomes'!F22</f>
        <v>Secrets management in PROD environment</v>
      </c>
      <c r="C215" s="27" t="s">
        <v>200</v>
      </c>
      <c r="D215" s="27" t="s">
        <v>1612</v>
      </c>
      <c r="E215" s="28" t="s">
        <v>2074</v>
      </c>
      <c r="F215" s="29">
        <v>0</v>
      </c>
      <c r="G215" s="39">
        <f>(COUNTIF(E215:E215,$F$406))/COUNTA(E215:E215)</f>
        <v>0</v>
      </c>
      <c r="H215" s="205">
        <f>SUM(G216:G225)/4</f>
        <v>0</v>
      </c>
      <c r="I215" s="28">
        <v>0</v>
      </c>
      <c r="J215" s="30"/>
      <c r="K215" s="30"/>
      <c r="L215" s="30"/>
      <c r="M215" s="27"/>
    </row>
    <row r="216" spans="2:13" ht="33" customHeight="1" outlineLevel="2" x14ac:dyDescent="0.3">
      <c r="B216" s="218"/>
      <c r="C216" s="27" t="s">
        <v>201</v>
      </c>
      <c r="D216" s="27" t="s">
        <v>1613</v>
      </c>
      <c r="E216" s="28" t="s">
        <v>2074</v>
      </c>
      <c r="F216" s="206">
        <v>1</v>
      </c>
      <c r="G216" s="210">
        <f>(COUNTIF(E216:E217,$F$411)+(COUNTIF(E216:E217,$F$410)*0.5))/(COUNTA(E216:E217)-COUNTIF(E216:E217,$F$412))</f>
        <v>0</v>
      </c>
      <c r="H216" s="205"/>
      <c r="I216" s="28">
        <v>1</v>
      </c>
      <c r="J216" s="30"/>
      <c r="K216" s="30" t="s">
        <v>1308</v>
      </c>
      <c r="L216" s="30"/>
      <c r="M216" s="27"/>
    </row>
    <row r="217" spans="2:13" ht="33" customHeight="1" outlineLevel="2" x14ac:dyDescent="0.3">
      <c r="B217" s="218"/>
      <c r="C217" s="27" t="s">
        <v>202</v>
      </c>
      <c r="D217" s="27" t="s">
        <v>1614</v>
      </c>
      <c r="E217" s="28" t="s">
        <v>2074</v>
      </c>
      <c r="F217" s="206"/>
      <c r="G217" s="210"/>
      <c r="H217" s="205"/>
      <c r="I217" s="28">
        <v>1</v>
      </c>
      <c r="J217" s="30" t="s">
        <v>656</v>
      </c>
      <c r="K217" s="30"/>
      <c r="L217" s="30"/>
      <c r="M217" s="27"/>
    </row>
    <row r="218" spans="2:13" ht="33" customHeight="1" outlineLevel="2" x14ac:dyDescent="0.3">
      <c r="B218" s="218"/>
      <c r="C218" s="27" t="s">
        <v>203</v>
      </c>
      <c r="D218" s="27" t="s">
        <v>1615</v>
      </c>
      <c r="E218" s="28" t="s">
        <v>2074</v>
      </c>
      <c r="F218" s="206">
        <v>2</v>
      </c>
      <c r="G218" s="210">
        <f>(COUNTIF(E218:E219,$F$411)+(COUNTIF(E218:E219,$F$410)*0.5))/(COUNTA(E218:E219)-COUNTIF(E218:E219,$F$412))</f>
        <v>0</v>
      </c>
      <c r="H218" s="205"/>
      <c r="I218" s="28">
        <v>2</v>
      </c>
      <c r="J218" s="30"/>
      <c r="K218" s="30" t="s">
        <v>1308</v>
      </c>
      <c r="L218" s="30"/>
      <c r="M218" s="27"/>
    </row>
    <row r="219" spans="2:13" ht="33" customHeight="1" outlineLevel="2" x14ac:dyDescent="0.3">
      <c r="B219" s="218"/>
      <c r="C219" s="27" t="s">
        <v>204</v>
      </c>
      <c r="D219" s="27" t="s">
        <v>1616</v>
      </c>
      <c r="E219" s="28" t="s">
        <v>2074</v>
      </c>
      <c r="F219" s="206"/>
      <c r="G219" s="210"/>
      <c r="H219" s="205"/>
      <c r="I219" s="28">
        <v>2</v>
      </c>
      <c r="J219" s="30"/>
      <c r="K219" s="30"/>
      <c r="L219" s="30"/>
      <c r="M219" s="27"/>
    </row>
    <row r="220" spans="2:13" ht="33" customHeight="1" outlineLevel="2" x14ac:dyDescent="0.3">
      <c r="B220" s="218"/>
      <c r="C220" s="27" t="s">
        <v>205</v>
      </c>
      <c r="D220" s="27" t="s">
        <v>1617</v>
      </c>
      <c r="E220" s="28" t="s">
        <v>2074</v>
      </c>
      <c r="F220" s="206">
        <v>3</v>
      </c>
      <c r="G220" s="210">
        <f>(COUNTIF(E220:E222,$F$411)+(COUNTIF(E220:E222,$F$410)*0.5))/(COUNTA(E220:E222)-COUNTIF(E220:E222,$F$412))</f>
        <v>0</v>
      </c>
      <c r="H220" s="205"/>
      <c r="I220" s="28">
        <v>3</v>
      </c>
      <c r="J220" s="30"/>
      <c r="K220" s="30"/>
      <c r="L220" s="30"/>
      <c r="M220" s="27"/>
    </row>
    <row r="221" spans="2:13" ht="33" customHeight="1" outlineLevel="2" x14ac:dyDescent="0.3">
      <c r="B221" s="218"/>
      <c r="C221" s="27" t="s">
        <v>206</v>
      </c>
      <c r="D221" s="27" t="s">
        <v>1618</v>
      </c>
      <c r="E221" s="28" t="s">
        <v>2074</v>
      </c>
      <c r="F221" s="206"/>
      <c r="G221" s="210"/>
      <c r="H221" s="205"/>
      <c r="I221" s="28">
        <v>3</v>
      </c>
      <c r="J221" s="30"/>
      <c r="K221" s="30"/>
      <c r="L221" s="30"/>
      <c r="M221" s="27"/>
    </row>
    <row r="222" spans="2:13" ht="33" customHeight="1" outlineLevel="2" x14ac:dyDescent="0.3">
      <c r="B222" s="218"/>
      <c r="C222" s="27" t="s">
        <v>207</v>
      </c>
      <c r="D222" s="27" t="s">
        <v>1619</v>
      </c>
      <c r="E222" s="28" t="s">
        <v>2074</v>
      </c>
      <c r="F222" s="206"/>
      <c r="G222" s="210"/>
      <c r="H222" s="205"/>
      <c r="I222" s="28">
        <v>3</v>
      </c>
      <c r="J222" s="30"/>
      <c r="K222" s="30"/>
      <c r="L222" s="30"/>
      <c r="M222" s="27"/>
    </row>
    <row r="223" spans="2:13" ht="33" customHeight="1" outlineLevel="2" x14ac:dyDescent="0.3">
      <c r="B223" s="218"/>
      <c r="C223" s="27" t="s">
        <v>208</v>
      </c>
      <c r="D223" s="27" t="s">
        <v>2062</v>
      </c>
      <c r="E223" s="28" t="s">
        <v>2074</v>
      </c>
      <c r="F223" s="206">
        <v>4</v>
      </c>
      <c r="G223" s="210">
        <f>(COUNTIF(E223:E225,$F$411)+(COUNTIF(E223:E225,$F$410)*0.5))/(COUNTA(E223:E225)-COUNTIF(E223:E225,$F$412))</f>
        <v>0</v>
      </c>
      <c r="H223" s="205"/>
      <c r="I223" s="28">
        <v>5</v>
      </c>
      <c r="J223" s="30"/>
      <c r="K223" s="30"/>
      <c r="L223" s="30"/>
      <c r="M223" s="27"/>
    </row>
    <row r="224" spans="2:13" ht="33" customHeight="1" outlineLevel="2" x14ac:dyDescent="0.3">
      <c r="B224" s="218"/>
      <c r="C224" s="27" t="s">
        <v>209</v>
      </c>
      <c r="D224" s="27" t="s">
        <v>1620</v>
      </c>
      <c r="E224" s="28" t="s">
        <v>2074</v>
      </c>
      <c r="F224" s="206"/>
      <c r="G224" s="210"/>
      <c r="H224" s="205"/>
      <c r="I224" s="28">
        <v>5</v>
      </c>
      <c r="J224" s="30"/>
      <c r="K224" s="30"/>
      <c r="L224" s="30"/>
      <c r="M224" s="27"/>
    </row>
    <row r="225" spans="2:13" ht="33" customHeight="1" outlineLevel="2" x14ac:dyDescent="0.3">
      <c r="B225" s="218"/>
      <c r="C225" s="27" t="s">
        <v>745</v>
      </c>
      <c r="D225" s="27" t="s">
        <v>1621</v>
      </c>
      <c r="E225" s="28" t="s">
        <v>2074</v>
      </c>
      <c r="F225" s="206"/>
      <c r="G225" s="210"/>
      <c r="H225" s="205"/>
      <c r="I225" s="28">
        <v>5</v>
      </c>
      <c r="J225" s="30"/>
      <c r="K225" s="30"/>
      <c r="L225" s="30"/>
      <c r="M225" s="27"/>
    </row>
    <row r="226" spans="2:13" ht="33" customHeight="1" outlineLevel="1" x14ac:dyDescent="0.3">
      <c r="B226" s="218" t="str">
        <f>'Assesment outcomes'!F24</f>
        <v>Penetration testing in PROD environment</v>
      </c>
      <c r="C226" s="27" t="s">
        <v>210</v>
      </c>
      <c r="D226" s="27" t="s">
        <v>1622</v>
      </c>
      <c r="E226" s="28" t="s">
        <v>2074</v>
      </c>
      <c r="F226" s="29">
        <v>0</v>
      </c>
      <c r="G226" s="39">
        <f>(COUNTIF(E226:E226,$F$406))/COUNTA(E226:E226)</f>
        <v>0</v>
      </c>
      <c r="H226" s="205">
        <f>SUM(G227:G233)/4</f>
        <v>0</v>
      </c>
      <c r="I226" s="37">
        <v>0</v>
      </c>
      <c r="J226" s="30"/>
      <c r="K226" s="30"/>
      <c r="L226" s="30"/>
      <c r="M226" s="27"/>
    </row>
    <row r="227" spans="2:13" ht="33" customHeight="1" outlineLevel="2" x14ac:dyDescent="0.3">
      <c r="B227" s="218"/>
      <c r="C227" s="27" t="s">
        <v>211</v>
      </c>
      <c r="D227" s="27" t="s">
        <v>1623</v>
      </c>
      <c r="E227" s="28" t="s">
        <v>2074</v>
      </c>
      <c r="F227" s="206">
        <v>1</v>
      </c>
      <c r="G227" s="210">
        <f>(COUNTIF(E227:E229,$F$411)+(COUNTIF(E227:E229,$F$410)*0.5))/(COUNTA(E227:E229)-COUNTIF(E227:E229,$F$412))</f>
        <v>0</v>
      </c>
      <c r="H227" s="205"/>
      <c r="I227" s="37">
        <v>2</v>
      </c>
      <c r="J227" s="30"/>
      <c r="K227" s="30"/>
      <c r="L227" s="30"/>
      <c r="M227" s="27"/>
    </row>
    <row r="228" spans="2:13" ht="33" customHeight="1" outlineLevel="2" x14ac:dyDescent="0.3">
      <c r="B228" s="218"/>
      <c r="C228" s="27" t="s">
        <v>212</v>
      </c>
      <c r="D228" s="27" t="s">
        <v>1624</v>
      </c>
      <c r="E228" s="28" t="s">
        <v>2074</v>
      </c>
      <c r="F228" s="206"/>
      <c r="G228" s="210"/>
      <c r="H228" s="205"/>
      <c r="I228" s="37">
        <v>2</v>
      </c>
      <c r="J228" s="30" t="s">
        <v>173</v>
      </c>
      <c r="K228" s="30"/>
      <c r="L228" s="30"/>
      <c r="M228" s="27"/>
    </row>
    <row r="229" spans="2:13" ht="33" customHeight="1" outlineLevel="2" x14ac:dyDescent="0.3">
      <c r="B229" s="218"/>
      <c r="C229" s="27" t="s">
        <v>213</v>
      </c>
      <c r="D229" s="27" t="s">
        <v>1625</v>
      </c>
      <c r="E229" s="28" t="s">
        <v>2074</v>
      </c>
      <c r="F229" s="206"/>
      <c r="G229" s="210"/>
      <c r="H229" s="205"/>
      <c r="I229" s="37">
        <v>2</v>
      </c>
      <c r="J229" s="30" t="s">
        <v>394</v>
      </c>
      <c r="K229" s="30"/>
      <c r="L229" s="30"/>
      <c r="M229" s="27"/>
    </row>
    <row r="230" spans="2:13" ht="33" customHeight="1" outlineLevel="2" x14ac:dyDescent="0.3">
      <c r="B230" s="218"/>
      <c r="C230" s="27" t="s">
        <v>214</v>
      </c>
      <c r="D230" s="27" t="s">
        <v>1626</v>
      </c>
      <c r="E230" s="28" t="s">
        <v>2074</v>
      </c>
      <c r="F230" s="29">
        <v>2</v>
      </c>
      <c r="G230" s="39">
        <f>(COUNTIF(E230,$F$411)+(COUNTIF(E230,$F$410)*0.5))/COUNTA(E230)</f>
        <v>0</v>
      </c>
      <c r="H230" s="205"/>
      <c r="I230" s="37">
        <v>3</v>
      </c>
      <c r="J230" s="30"/>
      <c r="K230" s="30"/>
      <c r="L230" s="30"/>
      <c r="M230" s="27"/>
    </row>
    <row r="231" spans="2:13" ht="33" customHeight="1" outlineLevel="2" x14ac:dyDescent="0.3">
      <c r="B231" s="218"/>
      <c r="C231" s="31" t="s">
        <v>215</v>
      </c>
      <c r="D231" s="31" t="s">
        <v>1627</v>
      </c>
      <c r="E231" s="28" t="s">
        <v>2074</v>
      </c>
      <c r="F231" s="29">
        <v>3</v>
      </c>
      <c r="G231" s="39">
        <f>(COUNTIF(E231,$F$411)+(COUNTIF(E231,$F$410)*0.5))/COUNTA(E231)</f>
        <v>0</v>
      </c>
      <c r="H231" s="205"/>
      <c r="I231" s="37">
        <v>4</v>
      </c>
      <c r="J231" s="30" t="s">
        <v>660</v>
      </c>
      <c r="K231" s="30"/>
      <c r="L231" s="30"/>
      <c r="M231" s="27"/>
    </row>
    <row r="232" spans="2:13" ht="33" customHeight="1" outlineLevel="2" x14ac:dyDescent="0.3">
      <c r="B232" s="218"/>
      <c r="C232" s="27" t="s">
        <v>216</v>
      </c>
      <c r="D232" s="27" t="s">
        <v>1628</v>
      </c>
      <c r="E232" s="28" t="s">
        <v>2074</v>
      </c>
      <c r="F232" s="206">
        <v>4</v>
      </c>
      <c r="G232" s="210">
        <f>(COUNTIF(E232:E233,$F$411)+(COUNTIF(E232:E233,$F$410)*0.5))/(COUNTA(E232:E233)-COUNTIF(E232:E233,$F$412))</f>
        <v>0</v>
      </c>
      <c r="H232" s="205"/>
      <c r="I232" s="37">
        <v>7</v>
      </c>
      <c r="J232" s="30"/>
      <c r="K232" s="30"/>
      <c r="L232" s="30"/>
      <c r="M232" s="27"/>
    </row>
    <row r="233" spans="2:13" ht="33" customHeight="1" outlineLevel="2" x14ac:dyDescent="0.3">
      <c r="B233" s="218"/>
      <c r="C233" s="27" t="s">
        <v>217</v>
      </c>
      <c r="D233" s="31" t="s">
        <v>1629</v>
      </c>
      <c r="E233" s="28" t="s">
        <v>2074</v>
      </c>
      <c r="F233" s="206"/>
      <c r="G233" s="210"/>
      <c r="H233" s="205"/>
      <c r="I233" s="37">
        <v>7</v>
      </c>
      <c r="J233" s="30" t="s">
        <v>661</v>
      </c>
      <c r="K233" s="30"/>
      <c r="L233" s="30" t="s">
        <v>708</v>
      </c>
      <c r="M233" s="27"/>
    </row>
    <row r="234" spans="2:13" ht="33" customHeight="1" outlineLevel="1" x14ac:dyDescent="0.3">
      <c r="B234" s="218" t="str">
        <f>'Assesment outcomes'!F23</f>
        <v>Dynamic Application Security Testing (DAST) in PROD environment</v>
      </c>
      <c r="C234" s="27" t="s">
        <v>218</v>
      </c>
      <c r="D234" s="27" t="s">
        <v>1630</v>
      </c>
      <c r="E234" s="28" t="s">
        <v>2074</v>
      </c>
      <c r="F234" s="29">
        <v>0</v>
      </c>
      <c r="G234" s="39">
        <f>(COUNTIF(E234:E234,$F$406))/COUNTA(E234:E234)</f>
        <v>0</v>
      </c>
      <c r="H234" s="205">
        <f>SUM(G235:G248)/4</f>
        <v>0</v>
      </c>
      <c r="I234" s="37">
        <v>0</v>
      </c>
      <c r="J234" s="30"/>
      <c r="K234" s="30" t="s">
        <v>1324</v>
      </c>
      <c r="L234" s="30"/>
      <c r="M234" s="27"/>
    </row>
    <row r="235" spans="2:13" ht="33" customHeight="1" outlineLevel="2" x14ac:dyDescent="0.3">
      <c r="B235" s="218"/>
      <c r="C235" s="27" t="s">
        <v>219</v>
      </c>
      <c r="D235" s="27" t="s">
        <v>1574</v>
      </c>
      <c r="E235" s="28" t="s">
        <v>2074</v>
      </c>
      <c r="F235" s="206">
        <v>1</v>
      </c>
      <c r="G235" s="210">
        <f>(COUNTIF(E235:E237,$F$411)+(COUNTIF(E235:E237,$F$410)*0.5))/(COUNTA(E235:E237)-COUNTIF(E235:E237,$F$412))</f>
        <v>0</v>
      </c>
      <c r="H235" s="205"/>
      <c r="I235" s="37">
        <v>4</v>
      </c>
      <c r="J235" s="30"/>
      <c r="K235" s="30" t="s">
        <v>1324</v>
      </c>
      <c r="L235" s="30"/>
      <c r="M235" s="27"/>
    </row>
    <row r="236" spans="2:13" ht="33" customHeight="1" outlineLevel="2" x14ac:dyDescent="0.3">
      <c r="B236" s="218"/>
      <c r="C236" s="27" t="s">
        <v>220</v>
      </c>
      <c r="D236" s="27" t="s">
        <v>1631</v>
      </c>
      <c r="E236" s="28" t="s">
        <v>2074</v>
      </c>
      <c r="F236" s="206"/>
      <c r="G236" s="210"/>
      <c r="H236" s="205"/>
      <c r="I236" s="37">
        <v>4</v>
      </c>
      <c r="J236" s="30"/>
      <c r="K236" s="30"/>
      <c r="L236" s="30"/>
      <c r="M236" s="27"/>
    </row>
    <row r="237" spans="2:13" ht="33" customHeight="1" outlineLevel="2" x14ac:dyDescent="0.3">
      <c r="B237" s="218"/>
      <c r="C237" s="27" t="s">
        <v>221</v>
      </c>
      <c r="D237" s="27" t="s">
        <v>1632</v>
      </c>
      <c r="E237" s="28" t="s">
        <v>2074</v>
      </c>
      <c r="F237" s="206"/>
      <c r="G237" s="210"/>
      <c r="H237" s="205"/>
      <c r="I237" s="37">
        <v>4</v>
      </c>
      <c r="J237" s="30"/>
      <c r="K237" s="30"/>
      <c r="L237" s="30"/>
      <c r="M237" s="27"/>
    </row>
    <row r="238" spans="2:13" ht="33" customHeight="1" outlineLevel="2" x14ac:dyDescent="0.3">
      <c r="B238" s="218"/>
      <c r="C238" s="27" t="s">
        <v>222</v>
      </c>
      <c r="D238" s="27" t="s">
        <v>1633</v>
      </c>
      <c r="E238" s="28" t="s">
        <v>2074</v>
      </c>
      <c r="F238" s="206">
        <v>2</v>
      </c>
      <c r="G238" s="210">
        <f>(COUNTIF(E238:E241,$F$411)+(COUNTIF(E238:E241,$F$410)*0.5))/(COUNTA(E238:E241)-COUNTIF(E238:E241,$F$412))</f>
        <v>0</v>
      </c>
      <c r="H238" s="205"/>
      <c r="I238" s="37">
        <v>5</v>
      </c>
      <c r="J238" s="30"/>
      <c r="K238" s="30"/>
      <c r="L238" s="30"/>
      <c r="M238" s="27"/>
    </row>
    <row r="239" spans="2:13" ht="33" customHeight="1" outlineLevel="2" x14ac:dyDescent="0.3">
      <c r="B239" s="218"/>
      <c r="C239" s="27" t="s">
        <v>223</v>
      </c>
      <c r="D239" s="27" t="s">
        <v>1634</v>
      </c>
      <c r="E239" s="28" t="s">
        <v>2074</v>
      </c>
      <c r="F239" s="206"/>
      <c r="G239" s="210"/>
      <c r="H239" s="205"/>
      <c r="I239" s="37">
        <v>5</v>
      </c>
      <c r="J239" s="30"/>
      <c r="K239" s="30" t="s">
        <v>1325</v>
      </c>
      <c r="L239" s="30"/>
      <c r="M239" s="27"/>
    </row>
    <row r="240" spans="2:13" ht="33" customHeight="1" outlineLevel="2" x14ac:dyDescent="0.3">
      <c r="B240" s="218"/>
      <c r="C240" s="27" t="s">
        <v>224</v>
      </c>
      <c r="D240" s="27" t="s">
        <v>1635</v>
      </c>
      <c r="E240" s="28" t="s">
        <v>2074</v>
      </c>
      <c r="F240" s="206"/>
      <c r="G240" s="210"/>
      <c r="H240" s="205"/>
      <c r="I240" s="37">
        <v>5</v>
      </c>
      <c r="J240" s="30"/>
      <c r="K240" s="30"/>
      <c r="L240" s="30"/>
      <c r="M240" s="27"/>
    </row>
    <row r="241" spans="2:13" ht="33" customHeight="1" outlineLevel="2" x14ac:dyDescent="0.3">
      <c r="B241" s="218"/>
      <c r="C241" s="27" t="s">
        <v>225</v>
      </c>
      <c r="D241" s="27" t="s">
        <v>1636</v>
      </c>
      <c r="E241" s="28" t="s">
        <v>2074</v>
      </c>
      <c r="F241" s="206"/>
      <c r="G241" s="210"/>
      <c r="H241" s="205"/>
      <c r="I241" s="37">
        <v>5</v>
      </c>
      <c r="J241" s="30"/>
      <c r="K241" s="30"/>
      <c r="L241" s="30"/>
      <c r="M241" s="27"/>
    </row>
    <row r="242" spans="2:13" ht="33" customHeight="1" outlineLevel="2" x14ac:dyDescent="0.3">
      <c r="B242" s="218"/>
      <c r="C242" s="27" t="s">
        <v>226</v>
      </c>
      <c r="D242" s="27" t="s">
        <v>1637</v>
      </c>
      <c r="E242" s="28" t="s">
        <v>2074</v>
      </c>
      <c r="F242" s="206">
        <v>3</v>
      </c>
      <c r="G242" s="210">
        <f>(COUNTIF(E242:E245,$F$411)+(COUNTIF(E242:E245,$F$410)*0.5))/(COUNTA(E242:E245)-COUNTIF(E242:E245,$F$412))</f>
        <v>0</v>
      </c>
      <c r="H242" s="205"/>
      <c r="I242" s="37">
        <v>6</v>
      </c>
      <c r="J242" s="30"/>
      <c r="K242" s="30" t="s">
        <v>1326</v>
      </c>
      <c r="L242" s="30"/>
      <c r="M242" s="27"/>
    </row>
    <row r="243" spans="2:13" ht="33" customHeight="1" outlineLevel="2" x14ac:dyDescent="0.3">
      <c r="B243" s="218"/>
      <c r="C243" s="27" t="s">
        <v>227</v>
      </c>
      <c r="D243" s="27" t="s">
        <v>1638</v>
      </c>
      <c r="E243" s="28" t="s">
        <v>2074</v>
      </c>
      <c r="F243" s="206"/>
      <c r="G243" s="210"/>
      <c r="H243" s="205"/>
      <c r="I243" s="37">
        <v>6</v>
      </c>
      <c r="J243" s="30"/>
      <c r="K243" s="30" t="s">
        <v>1327</v>
      </c>
      <c r="L243" s="30"/>
      <c r="M243" s="27"/>
    </row>
    <row r="244" spans="2:13" ht="33" customHeight="1" outlineLevel="2" x14ac:dyDescent="0.3">
      <c r="B244" s="218"/>
      <c r="C244" s="27" t="s">
        <v>228</v>
      </c>
      <c r="D244" s="27" t="s">
        <v>1639</v>
      </c>
      <c r="E244" s="28" t="s">
        <v>2074</v>
      </c>
      <c r="F244" s="206"/>
      <c r="G244" s="210"/>
      <c r="H244" s="205"/>
      <c r="I244" s="37">
        <v>6</v>
      </c>
      <c r="J244" s="30"/>
      <c r="K244" s="30" t="s">
        <v>1328</v>
      </c>
      <c r="L244" s="30"/>
      <c r="M244" s="27"/>
    </row>
    <row r="245" spans="2:13" ht="33" customHeight="1" outlineLevel="2" x14ac:dyDescent="0.3">
      <c r="B245" s="218"/>
      <c r="C245" s="27" t="s">
        <v>229</v>
      </c>
      <c r="D245" s="27" t="s">
        <v>1640</v>
      </c>
      <c r="E245" s="28" t="s">
        <v>2074</v>
      </c>
      <c r="F245" s="206"/>
      <c r="G245" s="210"/>
      <c r="H245" s="205"/>
      <c r="I245" s="37">
        <v>6</v>
      </c>
      <c r="J245" s="30" t="s">
        <v>167</v>
      </c>
      <c r="K245" s="30"/>
      <c r="L245" s="30"/>
      <c r="M245" s="27"/>
    </row>
    <row r="246" spans="2:13" ht="33" customHeight="1" outlineLevel="2" x14ac:dyDescent="0.3">
      <c r="B246" s="218"/>
      <c r="C246" s="27" t="s">
        <v>230</v>
      </c>
      <c r="D246" s="27" t="s">
        <v>1641</v>
      </c>
      <c r="E246" s="28" t="s">
        <v>2074</v>
      </c>
      <c r="F246" s="206">
        <v>4</v>
      </c>
      <c r="G246" s="210">
        <f>(COUNTIF(E246:E248,$F$411)+(COUNTIF(E246:E248,$F$410)*0.5))/(COUNTA(E246:E248)-COUNTIF(E246:E248,$F$412))</f>
        <v>0</v>
      </c>
      <c r="H246" s="205"/>
      <c r="I246" s="37">
        <v>7</v>
      </c>
      <c r="J246" s="30"/>
      <c r="K246" s="30" t="s">
        <v>1329</v>
      </c>
      <c r="L246" s="30"/>
      <c r="M246" s="27"/>
    </row>
    <row r="247" spans="2:13" ht="33" customHeight="1" outlineLevel="2" x14ac:dyDescent="0.3">
      <c r="B247" s="218"/>
      <c r="C247" s="27" t="s">
        <v>231</v>
      </c>
      <c r="D247" s="27" t="s">
        <v>1642</v>
      </c>
      <c r="E247" s="28" t="s">
        <v>2074</v>
      </c>
      <c r="F247" s="206"/>
      <c r="G247" s="210"/>
      <c r="H247" s="205"/>
      <c r="I247" s="37">
        <v>7</v>
      </c>
      <c r="J247" s="30"/>
      <c r="K247" s="30" t="s">
        <v>1330</v>
      </c>
      <c r="L247" s="30"/>
      <c r="M247" s="27"/>
    </row>
    <row r="248" spans="2:13" ht="33" customHeight="1" outlineLevel="2" x14ac:dyDescent="0.3">
      <c r="B248" s="218"/>
      <c r="C248" s="27" t="s">
        <v>232</v>
      </c>
      <c r="D248" s="27" t="s">
        <v>1643</v>
      </c>
      <c r="E248" s="28" t="s">
        <v>2074</v>
      </c>
      <c r="F248" s="206"/>
      <c r="G248" s="210"/>
      <c r="H248" s="205"/>
      <c r="I248" s="37">
        <v>7</v>
      </c>
      <c r="J248" s="30"/>
      <c r="K248" s="30" t="s">
        <v>1331</v>
      </c>
      <c r="L248" s="30"/>
      <c r="M248" s="27"/>
    </row>
    <row r="249" spans="2:13" ht="33" customHeight="1" outlineLevel="1" x14ac:dyDescent="0.3">
      <c r="B249" s="218" t="str">
        <f>'Assesment outcomes'!F25</f>
        <v>Management of Infrastructure changes and access permissions</v>
      </c>
      <c r="C249" s="27" t="s">
        <v>233</v>
      </c>
      <c r="D249" s="27" t="s">
        <v>1644</v>
      </c>
      <c r="E249" s="28" t="s">
        <v>2074</v>
      </c>
      <c r="F249" s="29">
        <v>0</v>
      </c>
      <c r="G249" s="39">
        <f>(COUNTIF(E249:E249,$F$406))/COUNTA(E249:E249)</f>
        <v>0</v>
      </c>
      <c r="H249" s="205">
        <f>SUM(G250:G258)/4</f>
        <v>0</v>
      </c>
      <c r="I249" s="28">
        <v>0</v>
      </c>
      <c r="J249" s="30"/>
      <c r="K249" s="30" t="s">
        <v>1334</v>
      </c>
      <c r="L249" s="30" t="s">
        <v>706</v>
      </c>
      <c r="M249" s="27"/>
    </row>
    <row r="250" spans="2:13" ht="33" customHeight="1" outlineLevel="2" x14ac:dyDescent="0.3">
      <c r="B250" s="218"/>
      <c r="C250" s="27" t="s">
        <v>234</v>
      </c>
      <c r="D250" s="27" t="s">
        <v>1645</v>
      </c>
      <c r="E250" s="28" t="s">
        <v>2074</v>
      </c>
      <c r="F250" s="206">
        <v>1</v>
      </c>
      <c r="G250" s="210">
        <f>(COUNTIF(E250:E254,$F$411)+(COUNTIF(E250:E254,$F$410)*0.5))/(COUNTA(E250:E254)-COUNTIF(E250:E254,$F$412))</f>
        <v>0</v>
      </c>
      <c r="H250" s="205"/>
      <c r="I250" s="28">
        <v>1</v>
      </c>
      <c r="J250" s="30"/>
      <c r="K250" s="30"/>
      <c r="L250" s="30"/>
      <c r="M250" s="27"/>
    </row>
    <row r="251" spans="2:13" ht="33" customHeight="1" outlineLevel="2" x14ac:dyDescent="0.3">
      <c r="B251" s="218"/>
      <c r="C251" s="27" t="s">
        <v>235</v>
      </c>
      <c r="D251" s="27" t="s">
        <v>1646</v>
      </c>
      <c r="E251" s="28" t="s">
        <v>2074</v>
      </c>
      <c r="F251" s="206"/>
      <c r="G251" s="210"/>
      <c r="H251" s="205"/>
      <c r="I251" s="28">
        <v>1</v>
      </c>
      <c r="J251" s="30"/>
      <c r="K251" s="30" t="s">
        <v>1334</v>
      </c>
      <c r="L251" s="30"/>
      <c r="M251" s="27"/>
    </row>
    <row r="252" spans="2:13" ht="33" customHeight="1" outlineLevel="2" x14ac:dyDescent="0.3">
      <c r="B252" s="218"/>
      <c r="C252" s="27" t="s">
        <v>236</v>
      </c>
      <c r="D252" s="27" t="s">
        <v>1647</v>
      </c>
      <c r="E252" s="28" t="s">
        <v>2074</v>
      </c>
      <c r="F252" s="206"/>
      <c r="G252" s="210"/>
      <c r="H252" s="205"/>
      <c r="I252" s="28">
        <v>1</v>
      </c>
      <c r="J252" s="30"/>
      <c r="K252" s="30"/>
      <c r="L252" s="30"/>
      <c r="M252" s="27"/>
    </row>
    <row r="253" spans="2:13" ht="33" customHeight="1" outlineLevel="2" x14ac:dyDescent="0.3">
      <c r="B253" s="218"/>
      <c r="C253" s="27" t="s">
        <v>237</v>
      </c>
      <c r="D253" s="27" t="s">
        <v>1648</v>
      </c>
      <c r="E253" s="28" t="s">
        <v>2074</v>
      </c>
      <c r="F253" s="206"/>
      <c r="G253" s="210"/>
      <c r="H253" s="205"/>
      <c r="I253" s="28">
        <v>1</v>
      </c>
      <c r="J253" s="30"/>
      <c r="K253" s="30"/>
      <c r="L253" s="30"/>
      <c r="M253" s="27"/>
    </row>
    <row r="254" spans="2:13" ht="33" customHeight="1" outlineLevel="2" x14ac:dyDescent="0.3">
      <c r="B254" s="218"/>
      <c r="C254" s="27" t="s">
        <v>238</v>
      </c>
      <c r="D254" s="27" t="s">
        <v>1649</v>
      </c>
      <c r="E254" s="28" t="s">
        <v>2074</v>
      </c>
      <c r="F254" s="206"/>
      <c r="G254" s="210"/>
      <c r="H254" s="205"/>
      <c r="I254" s="28">
        <v>1</v>
      </c>
      <c r="J254" s="30"/>
      <c r="K254" s="30"/>
      <c r="L254" s="30"/>
      <c r="M254" s="27"/>
    </row>
    <row r="255" spans="2:13" ht="33" customHeight="1" outlineLevel="2" x14ac:dyDescent="0.3">
      <c r="B255" s="218"/>
      <c r="C255" s="27" t="s">
        <v>239</v>
      </c>
      <c r="D255" s="27" t="s">
        <v>1650</v>
      </c>
      <c r="E255" s="28" t="s">
        <v>2074</v>
      </c>
      <c r="F255" s="206">
        <v>2</v>
      </c>
      <c r="G255" s="210">
        <f>(COUNTIF(E255:E256,$F$411)+(COUNTIF(E255:E256,$F$410)*0.5))/(COUNTA(E255:E256)-COUNTIF(E255:E256,$F$412))</f>
        <v>0</v>
      </c>
      <c r="H255" s="205"/>
      <c r="I255" s="28">
        <v>3</v>
      </c>
      <c r="J255" s="30"/>
      <c r="K255" s="30"/>
      <c r="L255" s="30"/>
      <c r="M255" s="27"/>
    </row>
    <row r="256" spans="2:13" ht="33" customHeight="1" outlineLevel="2" x14ac:dyDescent="0.3">
      <c r="B256" s="218"/>
      <c r="C256" s="27" t="s">
        <v>240</v>
      </c>
      <c r="D256" s="27" t="s">
        <v>1651</v>
      </c>
      <c r="E256" s="28" t="s">
        <v>2074</v>
      </c>
      <c r="F256" s="206"/>
      <c r="G256" s="210"/>
      <c r="H256" s="205"/>
      <c r="I256" s="28">
        <v>3</v>
      </c>
      <c r="J256" s="30"/>
      <c r="K256" s="30" t="s">
        <v>1307</v>
      </c>
      <c r="L256" s="30"/>
      <c r="M256" s="27"/>
    </row>
    <row r="257" spans="2:13" ht="33" customHeight="1" outlineLevel="2" x14ac:dyDescent="0.3">
      <c r="B257" s="218"/>
      <c r="C257" s="27" t="s">
        <v>241</v>
      </c>
      <c r="D257" s="27" t="s">
        <v>1652</v>
      </c>
      <c r="E257" s="28" t="s">
        <v>2074</v>
      </c>
      <c r="F257" s="29">
        <v>3</v>
      </c>
      <c r="G257" s="39">
        <f>(COUNTIF(E257,$F$411)+(COUNTIF(E257,$F$410)*0.5))/COUNTA(E257)</f>
        <v>0</v>
      </c>
      <c r="H257" s="205"/>
      <c r="I257" s="28">
        <v>4</v>
      </c>
      <c r="J257" s="30"/>
      <c r="K257" s="30"/>
      <c r="L257" s="30"/>
      <c r="M257" s="27"/>
    </row>
    <row r="258" spans="2:13" ht="33" customHeight="1" outlineLevel="2" x14ac:dyDescent="0.3">
      <c r="B258" s="218"/>
      <c r="C258" s="27" t="s">
        <v>242</v>
      </c>
      <c r="D258" s="27" t="s">
        <v>1653</v>
      </c>
      <c r="E258" s="28" t="s">
        <v>2074</v>
      </c>
      <c r="F258" s="29">
        <v>4</v>
      </c>
      <c r="G258" s="39">
        <f>(COUNTIF(E258,$F$411)+(COUNTIF(E258,$F$410)*0.5))/COUNTA(E258)</f>
        <v>0</v>
      </c>
      <c r="H258" s="205"/>
      <c r="I258" s="28">
        <v>7</v>
      </c>
      <c r="J258" s="30"/>
      <c r="K258" s="30"/>
      <c r="L258" s="30"/>
      <c r="M258" s="27"/>
    </row>
    <row r="259" spans="2:13" ht="33" customHeight="1" outlineLevel="1" x14ac:dyDescent="0.3">
      <c r="B259" s="218" t="str">
        <f>'Assesment outcomes'!F26</f>
        <v>Network traffic monitoring and control (L4–L7)</v>
      </c>
      <c r="C259" s="27" t="s">
        <v>243</v>
      </c>
      <c r="D259" s="27" t="s">
        <v>1654</v>
      </c>
      <c r="E259" s="28" t="s">
        <v>2074</v>
      </c>
      <c r="F259" s="29">
        <v>0</v>
      </c>
      <c r="G259" s="39">
        <f>(COUNTIF(E259:E259,$F$406))/COUNTA(E259:E259)</f>
        <v>0</v>
      </c>
      <c r="H259" s="205">
        <f>SUM(G260:G264)/3</f>
        <v>0</v>
      </c>
      <c r="I259" s="28">
        <v>0</v>
      </c>
      <c r="J259" s="30"/>
      <c r="K259" s="30" t="s">
        <v>1335</v>
      </c>
      <c r="L259" s="30"/>
      <c r="M259" s="27"/>
    </row>
    <row r="260" spans="2:13" ht="33" customHeight="1" outlineLevel="2" x14ac:dyDescent="0.3">
      <c r="B260" s="218"/>
      <c r="C260" s="27" t="s">
        <v>244</v>
      </c>
      <c r="D260" s="27" t="s">
        <v>1655</v>
      </c>
      <c r="E260" s="28" t="s">
        <v>2074</v>
      </c>
      <c r="F260" s="206">
        <v>1</v>
      </c>
      <c r="G260" s="210">
        <f>(COUNTIF(E260:E261,$F$411)+(COUNTIF(E260:E261,$F$410)*0.5))/(COUNTA(E260:E261)-COUNTIF(E260:E261,$F$412))</f>
        <v>0</v>
      </c>
      <c r="H260" s="205"/>
      <c r="I260" s="28">
        <v>1</v>
      </c>
      <c r="J260" s="30" t="s">
        <v>245</v>
      </c>
      <c r="K260" s="30"/>
      <c r="L260" s="30"/>
      <c r="M260" s="27"/>
    </row>
    <row r="261" spans="2:13" ht="33" customHeight="1" outlineLevel="2" x14ac:dyDescent="0.3">
      <c r="B261" s="218"/>
      <c r="C261" s="27" t="s">
        <v>246</v>
      </c>
      <c r="D261" s="27" t="s">
        <v>1656</v>
      </c>
      <c r="E261" s="28" t="s">
        <v>2074</v>
      </c>
      <c r="F261" s="206"/>
      <c r="G261" s="210"/>
      <c r="H261" s="205"/>
      <c r="I261" s="28">
        <v>1</v>
      </c>
      <c r="J261" s="30"/>
      <c r="K261" s="30" t="s">
        <v>1335</v>
      </c>
      <c r="L261" s="30"/>
      <c r="M261" s="27"/>
    </row>
    <row r="262" spans="2:13" ht="33" customHeight="1" outlineLevel="2" x14ac:dyDescent="0.3">
      <c r="B262" s="218"/>
      <c r="C262" s="27" t="s">
        <v>247</v>
      </c>
      <c r="D262" s="27" t="s">
        <v>1657</v>
      </c>
      <c r="E262" s="28" t="s">
        <v>2074</v>
      </c>
      <c r="F262" s="206">
        <v>2</v>
      </c>
      <c r="G262" s="210">
        <f>(COUNTIF(E262:E263,$F$411)+(COUNTIF(E262:E263,$F$410)*0.5))/(COUNTA(E262:E263)-COUNTIF(E262:E263,$F$412))</f>
        <v>0</v>
      </c>
      <c r="H262" s="205"/>
      <c r="I262" s="28">
        <v>2</v>
      </c>
      <c r="J262" s="30"/>
      <c r="K262" s="30" t="s">
        <v>1335</v>
      </c>
      <c r="L262" s="30"/>
      <c r="M262" s="27"/>
    </row>
    <row r="263" spans="2:13" ht="33" customHeight="1" outlineLevel="2" x14ac:dyDescent="0.3">
      <c r="B263" s="218"/>
      <c r="C263" s="27" t="s">
        <v>248</v>
      </c>
      <c r="D263" s="27" t="s">
        <v>1658</v>
      </c>
      <c r="E263" s="28" t="s">
        <v>2074</v>
      </c>
      <c r="F263" s="206"/>
      <c r="G263" s="210"/>
      <c r="H263" s="205"/>
      <c r="I263" s="28">
        <v>2</v>
      </c>
      <c r="J263" s="30" t="s">
        <v>47</v>
      </c>
      <c r="K263" s="30"/>
      <c r="L263" s="30"/>
      <c r="M263" s="27"/>
    </row>
    <row r="264" spans="2:13" ht="33" customHeight="1" outlineLevel="2" x14ac:dyDescent="0.3">
      <c r="B264" s="218"/>
      <c r="C264" s="27" t="s">
        <v>249</v>
      </c>
      <c r="D264" s="27" t="s">
        <v>1659</v>
      </c>
      <c r="E264" s="28" t="s">
        <v>2074</v>
      </c>
      <c r="F264" s="29">
        <v>3</v>
      </c>
      <c r="G264" s="39">
        <f>(COUNTIF(E264:E264,$F$411)+(COUNTIF(E264:E264,$F$410)*0.5))/COUNTA(E264:E264)</f>
        <v>0</v>
      </c>
      <c r="H264" s="205"/>
      <c r="I264" s="28">
        <v>3</v>
      </c>
      <c r="J264" s="30"/>
      <c r="K264" s="30"/>
      <c r="L264" s="30"/>
      <c r="M264" s="27"/>
    </row>
    <row r="265" spans="2:13" ht="33" customHeight="1" outlineLevel="1" x14ac:dyDescent="0.3">
      <c r="B265" s="218" t="str">
        <f>'Assesment outcomes'!F27</f>
        <v>Runtime environment monitoring and control</v>
      </c>
      <c r="C265" s="27" t="s">
        <v>250</v>
      </c>
      <c r="D265" s="27" t="s">
        <v>1660</v>
      </c>
      <c r="E265" s="28" t="s">
        <v>2074</v>
      </c>
      <c r="F265" s="29">
        <v>0</v>
      </c>
      <c r="G265" s="39">
        <f>(COUNTIF(E265:E265,$F$406))/COUNTA(E265:E265)</f>
        <v>0</v>
      </c>
      <c r="H265" s="205">
        <f>SUM(G266:G268)/3</f>
        <v>0</v>
      </c>
      <c r="I265" s="28">
        <v>0</v>
      </c>
      <c r="J265" s="30"/>
      <c r="K265" s="30"/>
      <c r="L265" s="30"/>
      <c r="M265" s="27"/>
    </row>
    <row r="266" spans="2:13" ht="33" customHeight="1" outlineLevel="2" x14ac:dyDescent="0.3">
      <c r="B266" s="218"/>
      <c r="C266" s="27" t="s">
        <v>251</v>
      </c>
      <c r="D266" s="27" t="s">
        <v>1661</v>
      </c>
      <c r="E266" s="28" t="s">
        <v>2074</v>
      </c>
      <c r="F266" s="29">
        <v>1</v>
      </c>
      <c r="G266" s="39">
        <f>(COUNTIF(E266,$F$411)+(COUNTIF(E266,$F$410)*0.5))/COUNTA(E266)</f>
        <v>0</v>
      </c>
      <c r="H266" s="205"/>
      <c r="I266" s="28">
        <v>2</v>
      </c>
      <c r="J266" s="30"/>
      <c r="K266" s="30"/>
      <c r="L266" s="30"/>
      <c r="M266" s="27"/>
    </row>
    <row r="267" spans="2:13" ht="33" customHeight="1" outlineLevel="2" x14ac:dyDescent="0.3">
      <c r="B267" s="218"/>
      <c r="C267" s="27" t="s">
        <v>252</v>
      </c>
      <c r="D267" s="27" t="s">
        <v>1662</v>
      </c>
      <c r="E267" s="28" t="s">
        <v>2074</v>
      </c>
      <c r="F267" s="29">
        <v>2</v>
      </c>
      <c r="G267" s="39">
        <f>(COUNTIF(E267,$F$411)+(COUNTIF(E267,$F$410)*0.5))/COUNTA(E267)</f>
        <v>0</v>
      </c>
      <c r="H267" s="205"/>
      <c r="I267" s="28">
        <v>3</v>
      </c>
      <c r="J267" s="30"/>
      <c r="K267" s="30"/>
      <c r="L267" s="30"/>
      <c r="M267" s="27"/>
    </row>
    <row r="268" spans="2:13" ht="33" customHeight="1" outlineLevel="2" x14ac:dyDescent="0.3">
      <c r="B268" s="218"/>
      <c r="C268" s="27" t="s">
        <v>253</v>
      </c>
      <c r="D268" s="27" t="s">
        <v>1663</v>
      </c>
      <c r="E268" s="28" t="s">
        <v>2074</v>
      </c>
      <c r="F268" s="29">
        <v>3</v>
      </c>
      <c r="G268" s="39">
        <f>(COUNTIF(E268,$F$411)+(COUNTIF(E268,$F$410)*0.5))/COUNTA(E268)</f>
        <v>0</v>
      </c>
      <c r="H268" s="205"/>
      <c r="I268" s="28">
        <v>5</v>
      </c>
      <c r="J268" s="30" t="s">
        <v>395</v>
      </c>
      <c r="K268" s="30"/>
      <c r="L268" s="30"/>
      <c r="M268" s="27"/>
    </row>
    <row r="269" spans="2:13" ht="33" customHeight="1" outlineLevel="1" x14ac:dyDescent="0.3">
      <c r="B269" s="218" t="str">
        <f>'Assesment outcomes'!F28</f>
        <v>Vulnerability management (PROD Infrastructure)</v>
      </c>
      <c r="C269" s="27" t="s">
        <v>254</v>
      </c>
      <c r="D269" s="27" t="s">
        <v>1664</v>
      </c>
      <c r="E269" s="28" t="s">
        <v>2074</v>
      </c>
      <c r="F269" s="29">
        <v>0</v>
      </c>
      <c r="G269" s="39">
        <f>(COUNTIF(E269:E269,$F$406))/COUNTA(E269:E269)</f>
        <v>0</v>
      </c>
      <c r="H269" s="205">
        <f>SUM(G270:G280)/4</f>
        <v>0</v>
      </c>
      <c r="I269" s="28">
        <v>0</v>
      </c>
      <c r="J269" s="30"/>
      <c r="K269" s="30" t="s">
        <v>1336</v>
      </c>
      <c r="L269" s="30"/>
      <c r="M269" s="27"/>
    </row>
    <row r="270" spans="2:13" ht="33" customHeight="1" outlineLevel="2" x14ac:dyDescent="0.3">
      <c r="B270" s="218"/>
      <c r="C270" s="27" t="s">
        <v>255</v>
      </c>
      <c r="D270" s="27" t="s">
        <v>1665</v>
      </c>
      <c r="E270" s="28" t="s">
        <v>2074</v>
      </c>
      <c r="F270" s="206">
        <v>1</v>
      </c>
      <c r="G270" s="210">
        <f>(COUNTIF(E270:E271,$F$411)+(COUNTIF(E270:E271,$F$410)*0.5))/(COUNTA(E270:E271)-COUNTIF(E270:E271,$F$412))</f>
        <v>0</v>
      </c>
      <c r="H270" s="205"/>
      <c r="I270" s="28">
        <v>1</v>
      </c>
      <c r="J270" s="30"/>
      <c r="K270" s="30"/>
      <c r="L270" s="30"/>
      <c r="M270" s="27"/>
    </row>
    <row r="271" spans="2:13" ht="33" customHeight="1" outlineLevel="2" x14ac:dyDescent="0.3">
      <c r="B271" s="218"/>
      <c r="C271" s="27" t="s">
        <v>256</v>
      </c>
      <c r="D271" s="27" t="s">
        <v>2094</v>
      </c>
      <c r="E271" s="28" t="s">
        <v>2074</v>
      </c>
      <c r="F271" s="206"/>
      <c r="G271" s="210"/>
      <c r="H271" s="205"/>
      <c r="I271" s="28">
        <v>1</v>
      </c>
      <c r="J271" s="30"/>
      <c r="K271" s="30" t="s">
        <v>87</v>
      </c>
      <c r="L271" s="30" t="s">
        <v>704</v>
      </c>
      <c r="M271" s="27"/>
    </row>
    <row r="272" spans="2:13" ht="33" customHeight="1" outlineLevel="2" x14ac:dyDescent="0.3">
      <c r="B272" s="218"/>
      <c r="C272" s="27" t="s">
        <v>257</v>
      </c>
      <c r="D272" s="27" t="s">
        <v>1666</v>
      </c>
      <c r="E272" s="28" t="s">
        <v>2074</v>
      </c>
      <c r="F272" s="206">
        <v>2</v>
      </c>
      <c r="G272" s="210">
        <f>(COUNTIF(E272:E274,$F$411)+(COUNTIF(E272:E274,$F$410)*0.5))/(COUNTA(E272:E274)-COUNTIF(E272:E274,$F$412))</f>
        <v>0</v>
      </c>
      <c r="H272" s="205"/>
      <c r="I272" s="28">
        <v>2</v>
      </c>
      <c r="J272" s="30"/>
      <c r="K272" s="30"/>
      <c r="L272" s="30"/>
      <c r="M272" s="27"/>
    </row>
    <row r="273" spans="2:13" ht="33" customHeight="1" outlineLevel="2" x14ac:dyDescent="0.3">
      <c r="B273" s="218"/>
      <c r="C273" s="27" t="s">
        <v>258</v>
      </c>
      <c r="D273" s="27" t="s">
        <v>1667</v>
      </c>
      <c r="E273" s="28" t="s">
        <v>2074</v>
      </c>
      <c r="F273" s="206"/>
      <c r="G273" s="210"/>
      <c r="H273" s="205"/>
      <c r="I273" s="28">
        <v>2</v>
      </c>
      <c r="J273" s="30" t="s">
        <v>1362</v>
      </c>
      <c r="K273" s="30"/>
      <c r="L273" s="30"/>
      <c r="M273" s="27"/>
    </row>
    <row r="274" spans="2:13" ht="33" customHeight="1" outlineLevel="2" x14ac:dyDescent="0.3">
      <c r="B274" s="218"/>
      <c r="C274" s="27" t="s">
        <v>259</v>
      </c>
      <c r="D274" s="27" t="s">
        <v>1668</v>
      </c>
      <c r="E274" s="28" t="s">
        <v>2074</v>
      </c>
      <c r="F274" s="206"/>
      <c r="G274" s="210"/>
      <c r="H274" s="205"/>
      <c r="I274" s="28">
        <v>2</v>
      </c>
      <c r="J274" s="30"/>
      <c r="K274" s="30"/>
      <c r="L274" s="30" t="s">
        <v>705</v>
      </c>
      <c r="M274" s="27"/>
    </row>
    <row r="275" spans="2:13" ht="33" customHeight="1" outlineLevel="2" x14ac:dyDescent="0.3">
      <c r="B275" s="218"/>
      <c r="C275" s="27" t="s">
        <v>260</v>
      </c>
      <c r="D275" s="27" t="s">
        <v>1669</v>
      </c>
      <c r="E275" s="28" t="s">
        <v>2074</v>
      </c>
      <c r="F275" s="206">
        <v>3</v>
      </c>
      <c r="G275" s="210">
        <f>(COUNTIF(E275:E278,$F$411)+(COUNTIF(E275:E278,$F$410)*0.5))/(COUNTA(E275:E278)-COUNTIF(E275:E278,$F$412))</f>
        <v>0</v>
      </c>
      <c r="H275" s="205"/>
      <c r="I275" s="28">
        <v>3</v>
      </c>
      <c r="J275" s="30" t="s">
        <v>662</v>
      </c>
      <c r="K275" s="30"/>
      <c r="L275" s="30"/>
      <c r="M275" s="27"/>
    </row>
    <row r="276" spans="2:13" ht="33" customHeight="1" outlineLevel="2" x14ac:dyDescent="0.3">
      <c r="B276" s="218"/>
      <c r="C276" s="27" t="s">
        <v>261</v>
      </c>
      <c r="D276" s="27" t="s">
        <v>1670</v>
      </c>
      <c r="E276" s="28" t="s">
        <v>2074</v>
      </c>
      <c r="F276" s="206"/>
      <c r="G276" s="210"/>
      <c r="H276" s="205"/>
      <c r="I276" s="28">
        <v>3</v>
      </c>
      <c r="J276" s="30" t="s">
        <v>662</v>
      </c>
      <c r="K276" s="30"/>
      <c r="L276" s="30"/>
      <c r="M276" s="27"/>
    </row>
    <row r="277" spans="2:13" ht="33" customHeight="1" outlineLevel="2" x14ac:dyDescent="0.3">
      <c r="B277" s="218"/>
      <c r="C277" s="27" t="s">
        <v>262</v>
      </c>
      <c r="D277" s="27" t="s">
        <v>1671</v>
      </c>
      <c r="E277" s="28" t="s">
        <v>2074</v>
      </c>
      <c r="F277" s="206"/>
      <c r="G277" s="210"/>
      <c r="H277" s="205"/>
      <c r="I277" s="28">
        <v>3</v>
      </c>
      <c r="J277" s="30" t="s">
        <v>662</v>
      </c>
      <c r="K277" s="30"/>
      <c r="L277" s="30"/>
      <c r="M277" s="27"/>
    </row>
    <row r="278" spans="2:13" ht="33" customHeight="1" outlineLevel="2" x14ac:dyDescent="0.3">
      <c r="B278" s="218"/>
      <c r="C278" s="27" t="s">
        <v>263</v>
      </c>
      <c r="D278" s="27" t="s">
        <v>1672</v>
      </c>
      <c r="E278" s="28" t="s">
        <v>2074</v>
      </c>
      <c r="F278" s="206"/>
      <c r="G278" s="210"/>
      <c r="H278" s="205"/>
      <c r="I278" s="28">
        <v>3</v>
      </c>
      <c r="J278" s="30"/>
      <c r="K278" s="30"/>
      <c r="L278" s="30"/>
      <c r="M278" s="27"/>
    </row>
    <row r="279" spans="2:13" ht="33" customHeight="1" outlineLevel="2" x14ac:dyDescent="0.3">
      <c r="B279" s="218"/>
      <c r="C279" s="27" t="s">
        <v>264</v>
      </c>
      <c r="D279" s="27" t="s">
        <v>1673</v>
      </c>
      <c r="E279" s="28" t="s">
        <v>2074</v>
      </c>
      <c r="F279" s="206">
        <v>4</v>
      </c>
      <c r="G279" s="210">
        <f>(COUNTIF(E279:E280,$F$411)+(COUNTIF(E279:E280,$F$410)*0.5))/(COUNTA(E279:E280)-COUNTIF(E279:E280,$F$412))</f>
        <v>0</v>
      </c>
      <c r="H279" s="205"/>
      <c r="I279" s="28">
        <v>5</v>
      </c>
      <c r="J279" s="30" t="s">
        <v>662</v>
      </c>
      <c r="K279" s="30"/>
      <c r="L279" s="30" t="s">
        <v>401</v>
      </c>
      <c r="M279" s="27"/>
    </row>
    <row r="280" spans="2:13" ht="33" customHeight="1" outlineLevel="2" x14ac:dyDescent="0.3">
      <c r="B280" s="218"/>
      <c r="C280" s="27" t="s">
        <v>265</v>
      </c>
      <c r="D280" s="27" t="s">
        <v>1674</v>
      </c>
      <c r="E280" s="28" t="s">
        <v>2074</v>
      </c>
      <c r="F280" s="206"/>
      <c r="G280" s="210"/>
      <c r="H280" s="205"/>
      <c r="I280" s="28">
        <v>5</v>
      </c>
      <c r="J280" s="30"/>
      <c r="K280" s="30"/>
      <c r="L280" s="30" t="s">
        <v>706</v>
      </c>
      <c r="M280" s="27"/>
    </row>
    <row r="281" spans="2:13" ht="33" customHeight="1" outlineLevel="1" x14ac:dyDescent="0.3">
      <c r="B281" s="218" t="str">
        <f>'Assesment outcomes'!F29</f>
        <v>Security events monitoring and management</v>
      </c>
      <c r="C281" s="27" t="s">
        <v>266</v>
      </c>
      <c r="D281" s="27" t="s">
        <v>1675</v>
      </c>
      <c r="E281" s="28" t="s">
        <v>2074</v>
      </c>
      <c r="F281" s="29">
        <v>0</v>
      </c>
      <c r="G281" s="39">
        <f>(COUNTIF(E281:E281,$F$406))/COUNTA(E281:E281)</f>
        <v>0</v>
      </c>
      <c r="H281" s="205">
        <f>SUM(G282:G283)/2</f>
        <v>0</v>
      </c>
      <c r="I281" s="28">
        <v>0</v>
      </c>
      <c r="J281" s="30"/>
      <c r="K281" s="30" t="s">
        <v>1338</v>
      </c>
      <c r="L281" s="30"/>
      <c r="M281" s="27"/>
    </row>
    <row r="282" spans="2:13" ht="33" customHeight="1" outlineLevel="2" x14ac:dyDescent="0.3">
      <c r="B282" s="218"/>
      <c r="C282" s="27" t="s">
        <v>267</v>
      </c>
      <c r="D282" s="27" t="s">
        <v>1676</v>
      </c>
      <c r="E282" s="28" t="s">
        <v>2074</v>
      </c>
      <c r="F282" s="29">
        <v>2</v>
      </c>
      <c r="G282" s="39">
        <f>(COUNTIF(E282,$F$411)+(COUNTIF(E282,$F$410)*0.5))/COUNTA(E282)</f>
        <v>0</v>
      </c>
      <c r="H282" s="205"/>
      <c r="I282" s="28">
        <v>2</v>
      </c>
      <c r="J282" s="30"/>
      <c r="K282" s="30" t="s">
        <v>1337</v>
      </c>
      <c r="L282" s="30"/>
      <c r="M282" s="27"/>
    </row>
    <row r="283" spans="2:13" ht="33" customHeight="1" outlineLevel="2" x14ac:dyDescent="0.3">
      <c r="B283" s="218"/>
      <c r="C283" s="27" t="s">
        <v>268</v>
      </c>
      <c r="D283" s="27" t="s">
        <v>1677</v>
      </c>
      <c r="E283" s="28" t="s">
        <v>2074</v>
      </c>
      <c r="F283" s="29">
        <v>3</v>
      </c>
      <c r="G283" s="39">
        <f>(COUNTIF(E283,$F$411)+(COUNTIF(E283,$F$410)*0.5))/COUNTA(E283)</f>
        <v>0</v>
      </c>
      <c r="H283" s="205"/>
      <c r="I283" s="28">
        <v>3</v>
      </c>
      <c r="J283" s="30" t="s">
        <v>663</v>
      </c>
      <c r="K283" s="30" t="s">
        <v>1339</v>
      </c>
      <c r="L283" s="30"/>
      <c r="M283" s="27"/>
    </row>
    <row r="284" spans="2:13" customFormat="1" ht="6" customHeight="1" outlineLevel="1" x14ac:dyDescent="0.25"/>
    <row r="285" spans="2:13" ht="33" customHeight="1" x14ac:dyDescent="0.3">
      <c r="B285" s="207" t="s">
        <v>2084</v>
      </c>
      <c r="C285" s="207"/>
      <c r="D285" s="207"/>
      <c r="E285" s="207"/>
      <c r="F285" s="207"/>
      <c r="G285" s="207"/>
      <c r="H285" s="207"/>
      <c r="I285" s="207"/>
      <c r="J285" s="207"/>
      <c r="K285" s="207"/>
      <c r="L285" s="207"/>
      <c r="M285" s="207"/>
    </row>
    <row r="286" spans="2:13" ht="33" customHeight="1" outlineLevel="1" x14ac:dyDescent="0.3">
      <c r="B286" s="218" t="str">
        <f>'Assesment outcomes'!F30</f>
        <v>DevSecOps secure development training</v>
      </c>
      <c r="C286" s="31" t="s">
        <v>269</v>
      </c>
      <c r="D286" s="31" t="s">
        <v>1678</v>
      </c>
      <c r="E286" s="28" t="s">
        <v>2074</v>
      </c>
      <c r="F286" s="29">
        <v>0</v>
      </c>
      <c r="G286" s="39">
        <f>(COUNTIF(E286:E286,$F$406))/COUNTA(E286:E286)</f>
        <v>0</v>
      </c>
      <c r="H286" s="205">
        <f>SUM(G287:G295)/4</f>
        <v>0</v>
      </c>
      <c r="I286" s="28">
        <v>0</v>
      </c>
      <c r="J286" s="30"/>
      <c r="K286" s="30" t="s">
        <v>71</v>
      </c>
      <c r="L286" s="28" t="s">
        <v>709</v>
      </c>
      <c r="M286" s="27"/>
    </row>
    <row r="287" spans="2:13" ht="33" customHeight="1" outlineLevel="2" x14ac:dyDescent="0.3">
      <c r="B287" s="218"/>
      <c r="C287" s="31" t="s">
        <v>270</v>
      </c>
      <c r="D287" s="31" t="s">
        <v>1679</v>
      </c>
      <c r="E287" s="28" t="s">
        <v>2074</v>
      </c>
      <c r="F287" s="206">
        <v>1</v>
      </c>
      <c r="G287" s="210">
        <f>(COUNTIF(E287:E288,$F$411)+(COUNTIF(E287:E288,$F$410)*0.5))/(COUNTA(E287:E288)-COUNTIF(E287:E288,$F$412))</f>
        <v>0</v>
      </c>
      <c r="H287" s="205"/>
      <c r="I287" s="28">
        <v>1</v>
      </c>
      <c r="J287" s="30"/>
      <c r="K287" s="30" t="s">
        <v>1340</v>
      </c>
      <c r="L287" s="28" t="s">
        <v>709</v>
      </c>
      <c r="M287" s="27"/>
    </row>
    <row r="288" spans="2:13" ht="33" customHeight="1" outlineLevel="2" x14ac:dyDescent="0.3">
      <c r="B288" s="218"/>
      <c r="C288" s="31" t="s">
        <v>272</v>
      </c>
      <c r="D288" s="31" t="s">
        <v>1680</v>
      </c>
      <c r="E288" s="28" t="s">
        <v>2074</v>
      </c>
      <c r="F288" s="206"/>
      <c r="G288" s="210"/>
      <c r="H288" s="205"/>
      <c r="I288" s="28">
        <v>1</v>
      </c>
      <c r="J288" s="30"/>
      <c r="K288" s="30" t="s">
        <v>1341</v>
      </c>
      <c r="L288" s="28"/>
      <c r="M288" s="27"/>
    </row>
    <row r="289" spans="2:13" ht="33" customHeight="1" outlineLevel="2" x14ac:dyDescent="0.3">
      <c r="B289" s="218"/>
      <c r="C289" s="31" t="s">
        <v>273</v>
      </c>
      <c r="D289" s="31" t="s">
        <v>1681</v>
      </c>
      <c r="E289" s="28" t="s">
        <v>2074</v>
      </c>
      <c r="F289" s="206">
        <v>2</v>
      </c>
      <c r="G289" s="210">
        <f>(COUNTIF(E289:E292,$F$411)+(COUNTIF(E289:E292,$F$410)*0.5))/(COUNTA(E289:E292)-COUNTIF(E289:E292,$F$412))</f>
        <v>0</v>
      </c>
      <c r="H289" s="205"/>
      <c r="I289" s="28">
        <v>3</v>
      </c>
      <c r="J289" s="30" t="s">
        <v>664</v>
      </c>
      <c r="K289" s="30" t="s">
        <v>1340</v>
      </c>
      <c r="L289" s="28" t="s">
        <v>708</v>
      </c>
      <c r="M289" s="27"/>
    </row>
    <row r="290" spans="2:13" ht="33" customHeight="1" outlineLevel="2" x14ac:dyDescent="0.3">
      <c r="B290" s="218"/>
      <c r="C290" s="31" t="s">
        <v>274</v>
      </c>
      <c r="D290" s="31" t="s">
        <v>1682</v>
      </c>
      <c r="E290" s="28" t="s">
        <v>2074</v>
      </c>
      <c r="F290" s="206"/>
      <c r="G290" s="210"/>
      <c r="H290" s="205"/>
      <c r="I290" s="28">
        <v>3</v>
      </c>
      <c r="J290" s="30"/>
      <c r="K290" s="30" t="s">
        <v>1340</v>
      </c>
      <c r="L290" s="28" t="s">
        <v>710</v>
      </c>
      <c r="M290" s="27"/>
    </row>
    <row r="291" spans="2:13" ht="33" customHeight="1" outlineLevel="2" x14ac:dyDescent="0.3">
      <c r="B291" s="218"/>
      <c r="C291" s="31" t="s">
        <v>275</v>
      </c>
      <c r="D291" s="31" t="s">
        <v>1683</v>
      </c>
      <c r="E291" s="28" t="s">
        <v>2074</v>
      </c>
      <c r="F291" s="206"/>
      <c r="G291" s="210"/>
      <c r="H291" s="205"/>
      <c r="I291" s="28">
        <v>3</v>
      </c>
      <c r="J291" s="30" t="s">
        <v>276</v>
      </c>
      <c r="K291" s="30" t="s">
        <v>1342</v>
      </c>
      <c r="L291" s="28" t="s">
        <v>708</v>
      </c>
      <c r="M291" s="27"/>
    </row>
    <row r="292" spans="2:13" ht="33" customHeight="1" outlineLevel="2" x14ac:dyDescent="0.3">
      <c r="B292" s="218"/>
      <c r="C292" s="31" t="s">
        <v>277</v>
      </c>
      <c r="D292" s="31" t="s">
        <v>1684</v>
      </c>
      <c r="E292" s="28" t="s">
        <v>2074</v>
      </c>
      <c r="F292" s="206"/>
      <c r="G292" s="210"/>
      <c r="H292" s="205"/>
      <c r="I292" s="28">
        <v>3</v>
      </c>
      <c r="J292" s="30"/>
      <c r="K292" s="30"/>
      <c r="L292" s="28" t="s">
        <v>710</v>
      </c>
      <c r="M292" s="27"/>
    </row>
    <row r="293" spans="2:13" ht="33" customHeight="1" outlineLevel="2" x14ac:dyDescent="0.3">
      <c r="B293" s="218"/>
      <c r="C293" s="31" t="s">
        <v>278</v>
      </c>
      <c r="D293" s="31" t="s">
        <v>1685</v>
      </c>
      <c r="E293" s="28" t="s">
        <v>2074</v>
      </c>
      <c r="F293" s="206">
        <v>3</v>
      </c>
      <c r="G293" s="210">
        <f>(COUNTIF(E293:E294,$F$411)+(COUNTIF(E293:E294,$F$410)*0.5))/(COUNTA(E293:E294)-COUNTIF(E293:E294,$F$412))</f>
        <v>0</v>
      </c>
      <c r="H293" s="205"/>
      <c r="I293" s="28">
        <v>5</v>
      </c>
      <c r="J293" s="30" t="s">
        <v>665</v>
      </c>
      <c r="K293" s="30" t="s">
        <v>1343</v>
      </c>
      <c r="L293" s="28" t="s">
        <v>711</v>
      </c>
      <c r="M293" s="27"/>
    </row>
    <row r="294" spans="2:13" ht="33" customHeight="1" outlineLevel="2" x14ac:dyDescent="0.3">
      <c r="B294" s="218"/>
      <c r="C294" s="31" t="s">
        <v>279</v>
      </c>
      <c r="D294" s="31" t="s">
        <v>1686</v>
      </c>
      <c r="E294" s="28" t="s">
        <v>2074</v>
      </c>
      <c r="F294" s="206"/>
      <c r="G294" s="210"/>
      <c r="H294" s="205"/>
      <c r="I294" s="28">
        <v>5</v>
      </c>
      <c r="J294" s="30" t="s">
        <v>280</v>
      </c>
      <c r="K294" s="30"/>
      <c r="L294" s="30"/>
      <c r="M294" s="27"/>
    </row>
    <row r="295" spans="2:13" ht="33" customHeight="1" outlineLevel="2" x14ac:dyDescent="0.3">
      <c r="B295" s="218"/>
      <c r="C295" s="31" t="s">
        <v>281</v>
      </c>
      <c r="D295" s="31" t="s">
        <v>1687</v>
      </c>
      <c r="E295" s="28" t="s">
        <v>2074</v>
      </c>
      <c r="F295" s="29">
        <v>4</v>
      </c>
      <c r="G295" s="39">
        <f>(COUNTIF(E295,$F$411)+(COUNTIF(E295,$F$410)*0.5))/COUNTA(E295)</f>
        <v>0</v>
      </c>
      <c r="H295" s="205"/>
      <c r="I295" s="28">
        <v>6</v>
      </c>
      <c r="J295" s="30"/>
      <c r="K295" s="30"/>
      <c r="L295" s="30"/>
      <c r="M295" s="27"/>
    </row>
    <row r="296" spans="2:13" ht="33" customHeight="1" outlineLevel="1" x14ac:dyDescent="0.3">
      <c r="B296" s="218" t="str">
        <f>'Assesment outcomes'!F31</f>
        <v>DevSecOps knowledge base management</v>
      </c>
      <c r="C296" s="31" t="s">
        <v>282</v>
      </c>
      <c r="D296" s="31" t="s">
        <v>1688</v>
      </c>
      <c r="E296" s="28" t="s">
        <v>2074</v>
      </c>
      <c r="F296" s="29">
        <v>0</v>
      </c>
      <c r="G296" s="39">
        <f>(COUNTIF(E296:E296,$F$406))/COUNTA(E296:E296)</f>
        <v>0</v>
      </c>
      <c r="H296" s="205">
        <f>SUM(G297:G304)/4</f>
        <v>0</v>
      </c>
      <c r="I296" s="28">
        <v>0</v>
      </c>
      <c r="J296" s="30"/>
      <c r="K296" s="30"/>
      <c r="L296" s="30" t="s">
        <v>711</v>
      </c>
      <c r="M296" s="27"/>
    </row>
    <row r="297" spans="2:13" ht="33" customHeight="1" outlineLevel="2" x14ac:dyDescent="0.3">
      <c r="B297" s="218"/>
      <c r="C297" s="31" t="s">
        <v>283</v>
      </c>
      <c r="D297" s="31" t="s">
        <v>1689</v>
      </c>
      <c r="E297" s="28" t="s">
        <v>2074</v>
      </c>
      <c r="F297" s="29">
        <v>1</v>
      </c>
      <c r="G297" s="39">
        <f>(COUNTIF(E297,$F$411)+(COUNTIF(E297,$F$410)*0.5))/COUNTA(E297)</f>
        <v>0</v>
      </c>
      <c r="H297" s="205"/>
      <c r="I297" s="28">
        <v>1</v>
      </c>
      <c r="J297" s="30"/>
      <c r="K297" s="30"/>
      <c r="L297" s="30"/>
      <c r="M297" s="27"/>
    </row>
    <row r="298" spans="2:13" ht="33" customHeight="1" outlineLevel="2" x14ac:dyDescent="0.3">
      <c r="B298" s="218"/>
      <c r="C298" s="31" t="s">
        <v>284</v>
      </c>
      <c r="D298" s="31" t="s">
        <v>1690</v>
      </c>
      <c r="E298" s="28" t="s">
        <v>2074</v>
      </c>
      <c r="F298" s="206">
        <v>2</v>
      </c>
      <c r="G298" s="210">
        <f>(COUNTIF(E298:E299,$F$411)+(COUNTIF(E298:E299,$F$410)*0.5))/(COUNTA(E298:E299)-COUNTIF(E298:E299,$F$412))</f>
        <v>0</v>
      </c>
      <c r="H298" s="205"/>
      <c r="I298" s="28">
        <v>3</v>
      </c>
      <c r="J298" s="30" t="s">
        <v>1363</v>
      </c>
      <c r="K298" s="30"/>
      <c r="L298" s="30"/>
      <c r="M298" s="27"/>
    </row>
    <row r="299" spans="2:13" ht="33" customHeight="1" outlineLevel="2" x14ac:dyDescent="0.3">
      <c r="B299" s="218"/>
      <c r="C299" s="31" t="s">
        <v>285</v>
      </c>
      <c r="D299" s="31" t="s">
        <v>1691</v>
      </c>
      <c r="E299" s="28" t="s">
        <v>2074</v>
      </c>
      <c r="F299" s="206"/>
      <c r="G299" s="210"/>
      <c r="H299" s="205"/>
      <c r="I299" s="28">
        <v>3</v>
      </c>
      <c r="J299" s="30" t="s">
        <v>666</v>
      </c>
      <c r="K299" s="30"/>
      <c r="L299" s="30"/>
      <c r="M299" s="27"/>
    </row>
    <row r="300" spans="2:13" ht="33" customHeight="1" outlineLevel="2" x14ac:dyDescent="0.3">
      <c r="B300" s="218"/>
      <c r="C300" s="31" t="s">
        <v>286</v>
      </c>
      <c r="D300" s="31" t="s">
        <v>1692</v>
      </c>
      <c r="E300" s="28" t="s">
        <v>2074</v>
      </c>
      <c r="F300" s="206">
        <v>3</v>
      </c>
      <c r="G300" s="210">
        <f>(COUNTIF(E300:E302,$F$411)+(COUNTIF(E300:E302,$F$410)*0.5))/(COUNTA(E300:E302)-COUNTIF(E300:E302,$F$412))</f>
        <v>0</v>
      </c>
      <c r="H300" s="205"/>
      <c r="I300" s="28">
        <v>4</v>
      </c>
      <c r="J300" s="30" t="s">
        <v>1364</v>
      </c>
      <c r="K300" s="30"/>
      <c r="L300" s="30"/>
      <c r="M300" s="27"/>
    </row>
    <row r="301" spans="2:13" ht="33" customHeight="1" outlineLevel="2" x14ac:dyDescent="0.3">
      <c r="B301" s="218"/>
      <c r="C301" s="31" t="s">
        <v>287</v>
      </c>
      <c r="D301" s="31" t="s">
        <v>1693</v>
      </c>
      <c r="E301" s="28" t="s">
        <v>2074</v>
      </c>
      <c r="F301" s="206"/>
      <c r="G301" s="210"/>
      <c r="H301" s="205"/>
      <c r="I301" s="28">
        <v>4</v>
      </c>
      <c r="J301" s="30" t="s">
        <v>1365</v>
      </c>
      <c r="K301" s="30"/>
      <c r="L301" s="30"/>
      <c r="M301" s="27"/>
    </row>
    <row r="302" spans="2:13" ht="33" customHeight="1" outlineLevel="2" x14ac:dyDescent="0.3">
      <c r="B302" s="218"/>
      <c r="C302" s="31" t="s">
        <v>746</v>
      </c>
      <c r="D302" s="31" t="s">
        <v>1694</v>
      </c>
      <c r="E302" s="28" t="s">
        <v>2074</v>
      </c>
      <c r="F302" s="206"/>
      <c r="G302" s="210"/>
      <c r="H302" s="205"/>
      <c r="I302" s="28">
        <v>4</v>
      </c>
      <c r="J302" s="30"/>
      <c r="K302" s="30"/>
      <c r="L302" s="30"/>
      <c r="M302" s="27"/>
    </row>
    <row r="303" spans="2:13" ht="33" customHeight="1" outlineLevel="2" x14ac:dyDescent="0.3">
      <c r="B303" s="218"/>
      <c r="C303" s="31" t="s">
        <v>288</v>
      </c>
      <c r="D303" s="31" t="s">
        <v>1695</v>
      </c>
      <c r="E303" s="28" t="s">
        <v>2074</v>
      </c>
      <c r="F303" s="206">
        <v>4</v>
      </c>
      <c r="G303" s="210">
        <f>(COUNTIF(E303:E304,$F$411)+(COUNTIF(E303:E304,$F$410)*0.5))/(COUNTA(E303:E304)-COUNTIF(E303:E304,$F$412))</f>
        <v>0</v>
      </c>
      <c r="H303" s="205"/>
      <c r="I303" s="28">
        <v>5</v>
      </c>
      <c r="J303" s="30"/>
      <c r="K303" s="30"/>
      <c r="L303" s="30"/>
      <c r="M303" s="27"/>
    </row>
    <row r="304" spans="2:13" ht="33" customHeight="1" outlineLevel="2" x14ac:dyDescent="0.3">
      <c r="B304" s="218"/>
      <c r="C304" s="31" t="s">
        <v>747</v>
      </c>
      <c r="D304" s="31" t="s">
        <v>1696</v>
      </c>
      <c r="E304" s="28" t="s">
        <v>2074</v>
      </c>
      <c r="F304" s="206"/>
      <c r="G304" s="210"/>
      <c r="H304" s="205"/>
      <c r="I304" s="28">
        <v>6</v>
      </c>
      <c r="J304" s="30"/>
      <c r="K304" s="30"/>
      <c r="L304" s="30"/>
      <c r="M304" s="27"/>
    </row>
    <row r="305" spans="2:13" customFormat="1" ht="6" customHeight="1" outlineLevel="1" x14ac:dyDescent="0.25"/>
    <row r="306" spans="2:13" ht="33" customHeight="1" x14ac:dyDescent="0.3">
      <c r="B306" s="208" t="s">
        <v>2085</v>
      </c>
      <c r="C306" s="208"/>
      <c r="D306" s="208"/>
      <c r="E306" s="208"/>
      <c r="F306" s="208"/>
      <c r="G306" s="208"/>
      <c r="H306" s="208"/>
      <c r="I306" s="208"/>
      <c r="J306" s="208"/>
      <c r="K306" s="208"/>
      <c r="L306" s="208"/>
      <c r="M306" s="208"/>
    </row>
    <row r="307" spans="2:13" ht="33" customHeight="1" outlineLevel="1" x14ac:dyDescent="0.3">
      <c r="B307" s="218" t="str">
        <f>'Assesment outcomes'!F32</f>
        <v>Software criticality assessment and threat modeling</v>
      </c>
      <c r="C307" s="31" t="s">
        <v>289</v>
      </c>
      <c r="D307" s="31" t="s">
        <v>2064</v>
      </c>
      <c r="E307" s="28" t="s">
        <v>2074</v>
      </c>
      <c r="F307" s="29">
        <v>0</v>
      </c>
      <c r="G307" s="39">
        <f>(COUNTIF(E307:E307,$F$406))/COUNTA(E307:E307)</f>
        <v>0</v>
      </c>
      <c r="H307" s="205">
        <f>SUM(G308:G317)/4</f>
        <v>0</v>
      </c>
      <c r="I307" s="28">
        <v>0</v>
      </c>
      <c r="J307" s="30"/>
      <c r="K307" s="30" t="s">
        <v>1344</v>
      </c>
      <c r="L307" s="30" t="s">
        <v>370</v>
      </c>
      <c r="M307" s="27"/>
    </row>
    <row r="308" spans="2:13" ht="33" customHeight="1" outlineLevel="2" x14ac:dyDescent="0.3">
      <c r="B308" s="218"/>
      <c r="C308" s="31" t="s">
        <v>290</v>
      </c>
      <c r="D308" s="31" t="s">
        <v>1697</v>
      </c>
      <c r="E308" s="28" t="s">
        <v>2074</v>
      </c>
      <c r="F308" s="206">
        <v>1</v>
      </c>
      <c r="G308" s="210">
        <f>(COUNTIF(E308:E310,$F$411)+(COUNTIF(E308:E310,$F$410)*0.5))/(COUNTA(E308:E310)-COUNTIF(E308:E310,$F$412))</f>
        <v>0</v>
      </c>
      <c r="H308" s="205"/>
      <c r="I308" s="28">
        <v>2</v>
      </c>
      <c r="J308" s="30"/>
      <c r="K308" s="30"/>
      <c r="L308" s="30"/>
      <c r="M308" s="27"/>
    </row>
    <row r="309" spans="2:13" ht="33" customHeight="1" outlineLevel="2" x14ac:dyDescent="0.3">
      <c r="B309" s="218"/>
      <c r="C309" s="31" t="s">
        <v>291</v>
      </c>
      <c r="D309" s="31" t="s">
        <v>1698</v>
      </c>
      <c r="E309" s="28" t="s">
        <v>2074</v>
      </c>
      <c r="F309" s="206"/>
      <c r="G309" s="210"/>
      <c r="H309" s="205"/>
      <c r="I309" s="28">
        <v>2</v>
      </c>
      <c r="J309" s="30" t="s">
        <v>667</v>
      </c>
      <c r="K309" s="30"/>
      <c r="L309" s="30" t="s">
        <v>271</v>
      </c>
      <c r="M309" s="27"/>
    </row>
    <row r="310" spans="2:13" ht="33" customHeight="1" outlineLevel="2" x14ac:dyDescent="0.3">
      <c r="B310" s="218"/>
      <c r="C310" s="31" t="s">
        <v>292</v>
      </c>
      <c r="D310" s="31" t="s">
        <v>2063</v>
      </c>
      <c r="E310" s="28" t="s">
        <v>2074</v>
      </c>
      <c r="F310" s="206"/>
      <c r="G310" s="210"/>
      <c r="H310" s="205"/>
      <c r="I310" s="28">
        <v>2</v>
      </c>
      <c r="J310" s="30" t="s">
        <v>667</v>
      </c>
      <c r="K310" s="30"/>
      <c r="L310" s="30" t="s">
        <v>271</v>
      </c>
      <c r="M310" s="27"/>
    </row>
    <row r="311" spans="2:13" ht="33" customHeight="1" outlineLevel="2" x14ac:dyDescent="0.3">
      <c r="B311" s="218"/>
      <c r="C311" s="31" t="s">
        <v>293</v>
      </c>
      <c r="D311" s="31" t="s">
        <v>1699</v>
      </c>
      <c r="E311" s="28" t="s">
        <v>2074</v>
      </c>
      <c r="F311" s="206">
        <v>2</v>
      </c>
      <c r="G311" s="210">
        <f>(COUNTIF(E311:E313,$F$411)+(COUNTIF(E311:E313,$F$410)*0.5))/(COUNTA(E311:E313)-COUNTIF(E311:E313,$F$412))</f>
        <v>0</v>
      </c>
      <c r="H311" s="205"/>
      <c r="I311" s="28">
        <v>3</v>
      </c>
      <c r="J311" s="30"/>
      <c r="K311" s="30" t="s">
        <v>1345</v>
      </c>
      <c r="L311" s="30"/>
      <c r="M311" s="27"/>
    </row>
    <row r="312" spans="2:13" ht="33" customHeight="1" outlineLevel="2" x14ac:dyDescent="0.3">
      <c r="B312" s="218"/>
      <c r="C312" s="31" t="s">
        <v>294</v>
      </c>
      <c r="D312" s="31" t="s">
        <v>1700</v>
      </c>
      <c r="E312" s="28" t="s">
        <v>2074</v>
      </c>
      <c r="F312" s="206"/>
      <c r="G312" s="210"/>
      <c r="H312" s="205"/>
      <c r="I312" s="28">
        <v>3</v>
      </c>
      <c r="J312" s="30" t="s">
        <v>668</v>
      </c>
      <c r="K312" s="30"/>
      <c r="L312" s="30"/>
      <c r="M312" s="27"/>
    </row>
    <row r="313" spans="2:13" ht="33" customHeight="1" outlineLevel="2" x14ac:dyDescent="0.3">
      <c r="B313" s="218"/>
      <c r="C313" s="31" t="s">
        <v>295</v>
      </c>
      <c r="D313" s="31" t="s">
        <v>2065</v>
      </c>
      <c r="E313" s="28" t="s">
        <v>2074</v>
      </c>
      <c r="F313" s="206"/>
      <c r="G313" s="210"/>
      <c r="H313" s="205"/>
      <c r="I313" s="28">
        <v>3</v>
      </c>
      <c r="J313" s="30" t="s">
        <v>667</v>
      </c>
      <c r="K313" s="30"/>
      <c r="L313" s="30" t="s">
        <v>402</v>
      </c>
      <c r="M313" s="27"/>
    </row>
    <row r="314" spans="2:13" ht="33" customHeight="1" outlineLevel="2" x14ac:dyDescent="0.3">
      <c r="B314" s="218"/>
      <c r="C314" s="31" t="s">
        <v>297</v>
      </c>
      <c r="D314" s="31" t="s">
        <v>1701</v>
      </c>
      <c r="E314" s="28" t="s">
        <v>2074</v>
      </c>
      <c r="F314" s="206">
        <v>3</v>
      </c>
      <c r="G314" s="210">
        <f>(COUNTIF(E314:E316,$F$411)+(COUNTIF(E314:E316,$F$410)*0.5))/(COUNTA(E314:E316)-COUNTIF(E314:E316,$F$412))</f>
        <v>0</v>
      </c>
      <c r="H314" s="205"/>
      <c r="I314" s="28">
        <v>4</v>
      </c>
      <c r="J314" s="30"/>
      <c r="K314" s="30" t="s">
        <v>73</v>
      </c>
      <c r="L314" s="30" t="s">
        <v>396</v>
      </c>
      <c r="M314" s="27"/>
    </row>
    <row r="315" spans="2:13" ht="33" customHeight="1" outlineLevel="2" x14ac:dyDescent="0.3">
      <c r="B315" s="218"/>
      <c r="C315" s="31" t="s">
        <v>298</v>
      </c>
      <c r="D315" s="31" t="s">
        <v>1702</v>
      </c>
      <c r="E315" s="28" t="s">
        <v>2074</v>
      </c>
      <c r="F315" s="206"/>
      <c r="G315" s="210"/>
      <c r="H315" s="205"/>
      <c r="I315" s="28">
        <v>4</v>
      </c>
      <c r="J315" s="30" t="s">
        <v>1366</v>
      </c>
      <c r="K315" s="30" t="s">
        <v>58</v>
      </c>
      <c r="L315" s="30" t="s">
        <v>403</v>
      </c>
      <c r="M315" s="27"/>
    </row>
    <row r="316" spans="2:13" ht="33" customHeight="1" outlineLevel="2" x14ac:dyDescent="0.3">
      <c r="B316" s="218"/>
      <c r="C316" s="31" t="s">
        <v>299</v>
      </c>
      <c r="D316" s="31" t="s">
        <v>1703</v>
      </c>
      <c r="E316" s="28" t="s">
        <v>2074</v>
      </c>
      <c r="F316" s="206"/>
      <c r="G316" s="210"/>
      <c r="H316" s="205"/>
      <c r="I316" s="28">
        <v>4</v>
      </c>
      <c r="J316" s="30"/>
      <c r="K316" s="30" t="s">
        <v>1345</v>
      </c>
      <c r="L316" s="30" t="s">
        <v>712</v>
      </c>
      <c r="M316" s="27"/>
    </row>
    <row r="317" spans="2:13" ht="33" customHeight="1" outlineLevel="2" x14ac:dyDescent="0.3">
      <c r="B317" s="218"/>
      <c r="C317" s="31" t="s">
        <v>300</v>
      </c>
      <c r="D317" s="31" t="s">
        <v>1704</v>
      </c>
      <c r="E317" s="28" t="s">
        <v>2074</v>
      </c>
      <c r="F317" s="29">
        <v>4</v>
      </c>
      <c r="G317" s="39">
        <f>(COUNTIF(E317,$F$411)+(COUNTIF(E317,$F$410)*0.5))/COUNTA(E317)</f>
        <v>0</v>
      </c>
      <c r="H317" s="205"/>
      <c r="I317" s="28">
        <v>5</v>
      </c>
      <c r="J317" s="30" t="s">
        <v>669</v>
      </c>
      <c r="K317" s="30" t="s">
        <v>1346</v>
      </c>
      <c r="L317" s="30" t="s">
        <v>713</v>
      </c>
      <c r="M317" s="27"/>
    </row>
    <row r="318" spans="2:13" ht="33" customHeight="1" outlineLevel="1" x14ac:dyDescent="0.3">
      <c r="B318" s="218" t="str">
        <f>'Assesment outcomes'!F33</f>
        <v>Defining security requirements for applications under development</v>
      </c>
      <c r="C318" s="31" t="s">
        <v>301</v>
      </c>
      <c r="D318" s="31" t="s">
        <v>1705</v>
      </c>
      <c r="E318" s="28" t="s">
        <v>2074</v>
      </c>
      <c r="F318" s="29">
        <v>0</v>
      </c>
      <c r="G318" s="39">
        <f>(COUNTIF(E318:E318,$F$406))/COUNTA(E318:E318)</f>
        <v>0</v>
      </c>
      <c r="H318" s="205">
        <f>SUM(G319:G327)/4</f>
        <v>0</v>
      </c>
      <c r="I318" s="28">
        <v>0</v>
      </c>
      <c r="J318" s="30"/>
      <c r="K318" s="30"/>
      <c r="L318" s="30" t="s">
        <v>180</v>
      </c>
      <c r="M318" s="27"/>
    </row>
    <row r="319" spans="2:13" ht="33" customHeight="1" outlineLevel="2" x14ac:dyDescent="0.3">
      <c r="B319" s="218"/>
      <c r="C319" s="31" t="s">
        <v>302</v>
      </c>
      <c r="D319" s="31" t="s">
        <v>1706</v>
      </c>
      <c r="E319" s="28" t="s">
        <v>2074</v>
      </c>
      <c r="F319" s="206">
        <v>1</v>
      </c>
      <c r="G319" s="210">
        <f>(COUNTIF(E319:E320,$F$411)+(COUNTIF(E319:E320,$F$410)*0.5))/(COUNTA(E319:E320)-COUNTIF(E319:E320,$F$412))</f>
        <v>0</v>
      </c>
      <c r="H319" s="205"/>
      <c r="I319" s="28">
        <v>1</v>
      </c>
      <c r="J319" s="30"/>
      <c r="K319" s="30"/>
      <c r="L319" s="30" t="s">
        <v>714</v>
      </c>
      <c r="M319" s="27"/>
    </row>
    <row r="320" spans="2:13" ht="33" customHeight="1" outlineLevel="2" x14ac:dyDescent="0.3">
      <c r="B320" s="218"/>
      <c r="C320" s="31" t="s">
        <v>303</v>
      </c>
      <c r="D320" s="31" t="s">
        <v>1707</v>
      </c>
      <c r="E320" s="28" t="s">
        <v>2074</v>
      </c>
      <c r="F320" s="206"/>
      <c r="G320" s="210"/>
      <c r="H320" s="205"/>
      <c r="I320" s="28">
        <v>1</v>
      </c>
      <c r="J320" s="30"/>
      <c r="K320" s="30"/>
      <c r="L320" s="30" t="s">
        <v>715</v>
      </c>
      <c r="M320" s="27"/>
    </row>
    <row r="321" spans="2:13" ht="33" customHeight="1" outlineLevel="2" x14ac:dyDescent="0.3">
      <c r="B321" s="218"/>
      <c r="C321" s="27" t="s">
        <v>304</v>
      </c>
      <c r="D321" s="27" t="s">
        <v>1708</v>
      </c>
      <c r="E321" s="28" t="s">
        <v>2074</v>
      </c>
      <c r="F321" s="206">
        <v>2</v>
      </c>
      <c r="G321" s="210">
        <f>(COUNTIF(E321:E323,$F$411)+(COUNTIF(E321:E323,$F$410)*0.5))/(COUNTA(E321:E323)-COUNTIF(E321:E323,$F$412))</f>
        <v>0</v>
      </c>
      <c r="H321" s="205"/>
      <c r="I321" s="28">
        <v>2</v>
      </c>
      <c r="J321" s="30"/>
      <c r="K321" s="30"/>
      <c r="L321" s="30"/>
      <c r="M321" s="27"/>
    </row>
    <row r="322" spans="2:13" ht="33" customHeight="1" outlineLevel="2" x14ac:dyDescent="0.3">
      <c r="B322" s="218"/>
      <c r="C322" s="27" t="s">
        <v>305</v>
      </c>
      <c r="D322" s="27" t="s">
        <v>1709</v>
      </c>
      <c r="E322" s="28" t="s">
        <v>2074</v>
      </c>
      <c r="F322" s="206"/>
      <c r="G322" s="210"/>
      <c r="H322" s="205"/>
      <c r="I322" s="28">
        <v>2</v>
      </c>
      <c r="J322" s="30"/>
      <c r="K322" s="30"/>
      <c r="L322" s="30" t="s">
        <v>404</v>
      </c>
      <c r="M322" s="27"/>
    </row>
    <row r="323" spans="2:13" ht="33" customHeight="1" outlineLevel="2" x14ac:dyDescent="0.3">
      <c r="B323" s="218"/>
      <c r="C323" s="31" t="s">
        <v>307</v>
      </c>
      <c r="D323" s="31" t="s">
        <v>1710</v>
      </c>
      <c r="E323" s="28" t="s">
        <v>2074</v>
      </c>
      <c r="F323" s="206"/>
      <c r="G323" s="210"/>
      <c r="H323" s="205"/>
      <c r="I323" s="28">
        <v>2</v>
      </c>
      <c r="J323" s="30" t="s">
        <v>670</v>
      </c>
      <c r="K323" s="30"/>
      <c r="L323" s="30"/>
      <c r="M323" s="27"/>
    </row>
    <row r="324" spans="2:13" ht="33" customHeight="1" outlineLevel="2" x14ac:dyDescent="0.3">
      <c r="B324" s="218"/>
      <c r="C324" s="27" t="s">
        <v>308</v>
      </c>
      <c r="D324" s="27" t="s">
        <v>1711</v>
      </c>
      <c r="E324" s="28" t="s">
        <v>2074</v>
      </c>
      <c r="F324" s="206">
        <v>3</v>
      </c>
      <c r="G324" s="210">
        <f>(COUNTIF(E324:E326,$F$411)+(COUNTIF(E324:E326,$F$410)*0.5))/(COUNTA(E324:E326)-COUNTIF(E324:E326,$F$412))</f>
        <v>0</v>
      </c>
      <c r="H324" s="205"/>
      <c r="I324" s="28">
        <v>4</v>
      </c>
      <c r="J324" s="30"/>
      <c r="K324" s="30"/>
      <c r="L324" s="30" t="s">
        <v>403</v>
      </c>
      <c r="M324" s="27"/>
    </row>
    <row r="325" spans="2:13" ht="33" customHeight="1" outlineLevel="2" x14ac:dyDescent="0.3">
      <c r="B325" s="218"/>
      <c r="C325" s="31" t="s">
        <v>309</v>
      </c>
      <c r="D325" s="31" t="s">
        <v>1712</v>
      </c>
      <c r="E325" s="28" t="s">
        <v>2074</v>
      </c>
      <c r="F325" s="206"/>
      <c r="G325" s="210"/>
      <c r="H325" s="205"/>
      <c r="I325" s="28">
        <v>4</v>
      </c>
      <c r="J325" s="30"/>
      <c r="K325" s="30"/>
      <c r="L325" s="30"/>
      <c r="M325" s="27"/>
    </row>
    <row r="326" spans="2:13" ht="33" customHeight="1" outlineLevel="2" x14ac:dyDescent="0.3">
      <c r="B326" s="218"/>
      <c r="C326" s="31" t="s">
        <v>310</v>
      </c>
      <c r="D326" s="31" t="s">
        <v>1713</v>
      </c>
      <c r="E326" s="28" t="s">
        <v>2074</v>
      </c>
      <c r="F326" s="206"/>
      <c r="G326" s="210"/>
      <c r="H326" s="205"/>
      <c r="I326" s="28">
        <v>4</v>
      </c>
      <c r="J326" s="30"/>
      <c r="K326" s="30"/>
      <c r="L326" s="30" t="s">
        <v>1367</v>
      </c>
      <c r="M326" s="27"/>
    </row>
    <row r="327" spans="2:13" ht="33" customHeight="1" outlineLevel="2" x14ac:dyDescent="0.3">
      <c r="B327" s="218"/>
      <c r="C327" s="31" t="s">
        <v>748</v>
      </c>
      <c r="D327" s="31" t="s">
        <v>1714</v>
      </c>
      <c r="E327" s="28" t="s">
        <v>2074</v>
      </c>
      <c r="F327" s="29">
        <v>4</v>
      </c>
      <c r="G327" s="39">
        <f>(COUNTIF(E327,$F$411)+(COUNTIF(E327,$F$410)*0.5))/COUNTA(E327)</f>
        <v>0</v>
      </c>
      <c r="H327" s="205"/>
      <c r="I327" s="28">
        <v>6</v>
      </c>
      <c r="J327" s="30"/>
      <c r="K327" s="30"/>
      <c r="L327" s="30"/>
      <c r="M327" s="27"/>
    </row>
    <row r="328" spans="2:13" ht="33" customHeight="1" outlineLevel="1" x14ac:dyDescent="0.3">
      <c r="B328" s="218" t="str">
        <f>'Assesment outcomes'!F34</f>
        <v>Verification of compliance with security requirements</v>
      </c>
      <c r="C328" s="31" t="s">
        <v>311</v>
      </c>
      <c r="D328" s="31" t="s">
        <v>1715</v>
      </c>
      <c r="E328" s="28" t="s">
        <v>2074</v>
      </c>
      <c r="F328" s="29">
        <v>0</v>
      </c>
      <c r="G328" s="39">
        <f>(COUNTIF(E328:E328,$F$406))/COUNTA(E328:E328)</f>
        <v>0</v>
      </c>
      <c r="H328" s="205">
        <f>SUM(G329:G332)/4</f>
        <v>0</v>
      </c>
      <c r="I328" s="28">
        <v>0</v>
      </c>
      <c r="J328" s="30" t="s">
        <v>671</v>
      </c>
      <c r="K328" s="30" t="s">
        <v>1347</v>
      </c>
      <c r="L328" s="30" t="s">
        <v>404</v>
      </c>
      <c r="M328" s="27"/>
    </row>
    <row r="329" spans="2:13" ht="33" customHeight="1" outlineLevel="2" x14ac:dyDescent="0.3">
      <c r="B329" s="218"/>
      <c r="C329" s="31" t="s">
        <v>312</v>
      </c>
      <c r="D329" s="31" t="s">
        <v>1716</v>
      </c>
      <c r="E329" s="28" t="s">
        <v>2074</v>
      </c>
      <c r="F329" s="29">
        <v>1</v>
      </c>
      <c r="G329" s="39">
        <f>(COUNTIF(E329,$F$411)+(COUNTIF(E329,$F$410)*0.5))/COUNTA(E329)</f>
        <v>0</v>
      </c>
      <c r="H329" s="205"/>
      <c r="I329" s="28">
        <v>1</v>
      </c>
      <c r="J329" s="30" t="s">
        <v>1368</v>
      </c>
      <c r="K329" s="30" t="s">
        <v>1348</v>
      </c>
      <c r="L329" s="30" t="s">
        <v>681</v>
      </c>
      <c r="M329" s="27"/>
    </row>
    <row r="330" spans="2:13" ht="33" customHeight="1" outlineLevel="2" x14ac:dyDescent="0.3">
      <c r="B330" s="218"/>
      <c r="C330" s="31" t="s">
        <v>313</v>
      </c>
      <c r="D330" s="31" t="s">
        <v>1717</v>
      </c>
      <c r="E330" s="28" t="s">
        <v>2074</v>
      </c>
      <c r="F330" s="29">
        <v>2</v>
      </c>
      <c r="G330" s="39">
        <f>(COUNTIF(E330,$F$411)+(COUNTIF(E330,$F$410)*0.5))/COUNTA(E330)</f>
        <v>0</v>
      </c>
      <c r="H330" s="205"/>
      <c r="I330" s="28">
        <v>2</v>
      </c>
      <c r="J330" s="30" t="s">
        <v>1369</v>
      </c>
      <c r="K330" s="30" t="s">
        <v>1349</v>
      </c>
      <c r="L330" s="30" t="s">
        <v>905</v>
      </c>
      <c r="M330" s="27"/>
    </row>
    <row r="331" spans="2:13" ht="33" customHeight="1" outlineLevel="2" x14ac:dyDescent="0.3">
      <c r="B331" s="218"/>
      <c r="C331" s="31" t="s">
        <v>314</v>
      </c>
      <c r="D331" s="31" t="s">
        <v>1718</v>
      </c>
      <c r="E331" s="28" t="s">
        <v>2074</v>
      </c>
      <c r="F331" s="29">
        <v>3</v>
      </c>
      <c r="G331" s="39">
        <f>(COUNTIF(E331,$F$411)+(COUNTIF(E331,$F$410)*0.5))/COUNTA(E331)</f>
        <v>0</v>
      </c>
      <c r="H331" s="205"/>
      <c r="I331" s="28">
        <v>5</v>
      </c>
      <c r="J331" s="30" t="s">
        <v>672</v>
      </c>
      <c r="K331" s="30"/>
      <c r="L331" s="30" t="s">
        <v>906</v>
      </c>
      <c r="M331" s="27"/>
    </row>
    <row r="332" spans="2:13" ht="33" customHeight="1" outlineLevel="2" x14ac:dyDescent="0.3">
      <c r="B332" s="218"/>
      <c r="C332" s="31" t="s">
        <v>315</v>
      </c>
      <c r="D332" s="31" t="s">
        <v>1719</v>
      </c>
      <c r="E332" s="28" t="s">
        <v>2074</v>
      </c>
      <c r="F332" s="29">
        <v>4</v>
      </c>
      <c r="G332" s="39">
        <f>(COUNTIF(E332,$F$411)+(COUNTIF(E332,$F$410)*0.5))/COUNTA(E332)</f>
        <v>0</v>
      </c>
      <c r="H332" s="205"/>
      <c r="I332" s="28">
        <v>6</v>
      </c>
      <c r="J332" s="30" t="s">
        <v>673</v>
      </c>
      <c r="K332" s="30"/>
      <c r="L332" s="30" t="s">
        <v>716</v>
      </c>
      <c r="M332" s="27"/>
    </row>
    <row r="333" spans="2:13" ht="33" customHeight="1" outlineLevel="1" x14ac:dyDescent="0.3">
      <c r="B333" s="218" t="str">
        <f>'Assesment outcomes'!F35</f>
        <v>Software security configuration standards</v>
      </c>
      <c r="C333" s="27" t="s">
        <v>316</v>
      </c>
      <c r="D333" s="27" t="s">
        <v>1720</v>
      </c>
      <c r="E333" s="28" t="s">
        <v>2074</v>
      </c>
      <c r="F333" s="29">
        <v>0</v>
      </c>
      <c r="G333" s="39">
        <f>(COUNTIF(E333:E333,$F$406))/COUNTA(E333:E333)</f>
        <v>0</v>
      </c>
      <c r="H333" s="205">
        <f>SUM(G334:G339)/4</f>
        <v>0</v>
      </c>
      <c r="I333" s="28">
        <v>0</v>
      </c>
      <c r="J333" s="30"/>
      <c r="K333" s="30"/>
      <c r="L333" s="30" t="s">
        <v>697</v>
      </c>
      <c r="M333" s="27"/>
    </row>
    <row r="334" spans="2:13" ht="33" customHeight="1" outlineLevel="2" x14ac:dyDescent="0.3">
      <c r="B334" s="218"/>
      <c r="C334" s="31" t="s">
        <v>317</v>
      </c>
      <c r="D334" s="31" t="s">
        <v>2068</v>
      </c>
      <c r="E334" s="28" t="s">
        <v>2074</v>
      </c>
      <c r="F334" s="206">
        <v>1</v>
      </c>
      <c r="G334" s="210">
        <f>(COUNTIF(E334:E335,$F$411)+(COUNTIF(E334:E335,$F$410)*0.5))/(COUNTA(E334:E335)-COUNTIF(E334:E335,$F$412))</f>
        <v>0</v>
      </c>
      <c r="H334" s="205"/>
      <c r="I334" s="28">
        <v>3</v>
      </c>
      <c r="J334" s="30"/>
      <c r="K334" s="30"/>
      <c r="L334" s="30" t="s">
        <v>697</v>
      </c>
      <c r="M334" s="27"/>
    </row>
    <row r="335" spans="2:13" ht="33" customHeight="1" outlineLevel="2" x14ac:dyDescent="0.3">
      <c r="B335" s="218"/>
      <c r="C335" s="31" t="s">
        <v>318</v>
      </c>
      <c r="D335" s="31" t="s">
        <v>1721</v>
      </c>
      <c r="E335" s="28" t="s">
        <v>2074</v>
      </c>
      <c r="F335" s="206"/>
      <c r="G335" s="210"/>
      <c r="H335" s="205"/>
      <c r="I335" s="28">
        <v>3</v>
      </c>
      <c r="J335" s="30"/>
      <c r="K335" s="30"/>
      <c r="L335" s="30"/>
      <c r="M335" s="27"/>
    </row>
    <row r="336" spans="2:13" ht="33" customHeight="1" outlineLevel="2" x14ac:dyDescent="0.3">
      <c r="B336" s="218"/>
      <c r="C336" s="27" t="s">
        <v>319</v>
      </c>
      <c r="D336" s="27" t="s">
        <v>1722</v>
      </c>
      <c r="E336" s="28" t="s">
        <v>2074</v>
      </c>
      <c r="F336" s="29">
        <v>2</v>
      </c>
      <c r="G336" s="39">
        <f>(COUNTIF(E336,$F$411)+(COUNTIF(E336,$F$410)*0.5))/COUNTA(E336)</f>
        <v>0</v>
      </c>
      <c r="H336" s="205"/>
      <c r="I336" s="28">
        <v>4</v>
      </c>
      <c r="J336" s="28"/>
      <c r="K336" s="28"/>
      <c r="L336" s="30" t="s">
        <v>697</v>
      </c>
      <c r="M336" s="27"/>
    </row>
    <row r="337" spans="2:13" ht="33" customHeight="1" outlineLevel="2" x14ac:dyDescent="0.3">
      <c r="B337" s="218"/>
      <c r="C337" s="27" t="s">
        <v>320</v>
      </c>
      <c r="D337" s="27" t="s">
        <v>1723</v>
      </c>
      <c r="E337" s="28" t="s">
        <v>2074</v>
      </c>
      <c r="F337" s="206">
        <v>3</v>
      </c>
      <c r="G337" s="210">
        <f>(COUNTIF(E337:E338,$F$411)+(COUNTIF(E337:E338,$F$410)*0.5))/(COUNTA(E337:E338)-COUNTIF(E337:E338,$F$412))</f>
        <v>0</v>
      </c>
      <c r="H337" s="205"/>
      <c r="I337" s="28">
        <v>5</v>
      </c>
      <c r="J337" s="28"/>
      <c r="K337" s="28"/>
      <c r="L337" s="30" t="s">
        <v>717</v>
      </c>
      <c r="M337" s="27"/>
    </row>
    <row r="338" spans="2:13" ht="33" customHeight="1" outlineLevel="2" x14ac:dyDescent="0.3">
      <c r="B338" s="218"/>
      <c r="C338" s="27" t="s">
        <v>321</v>
      </c>
      <c r="D338" s="27" t="s">
        <v>2066</v>
      </c>
      <c r="E338" s="28" t="s">
        <v>2074</v>
      </c>
      <c r="F338" s="206"/>
      <c r="G338" s="210"/>
      <c r="H338" s="205"/>
      <c r="I338" s="28">
        <v>5</v>
      </c>
      <c r="J338" s="28"/>
      <c r="K338" s="28"/>
      <c r="L338" s="28"/>
      <c r="M338" s="27"/>
    </row>
    <row r="339" spans="2:13" ht="33" customHeight="1" outlineLevel="2" x14ac:dyDescent="0.3">
      <c r="B339" s="218"/>
      <c r="C339" s="31" t="s">
        <v>322</v>
      </c>
      <c r="D339" s="27" t="s">
        <v>1724</v>
      </c>
      <c r="E339" s="28" t="s">
        <v>2074</v>
      </c>
      <c r="F339" s="29">
        <v>4</v>
      </c>
      <c r="G339" s="39">
        <f>(COUNTIF(E339,$F$411)+(COUNTIF(E339,$F$410)*0.5))/COUNTA(E339)</f>
        <v>0</v>
      </c>
      <c r="H339" s="205"/>
      <c r="I339" s="28">
        <v>6</v>
      </c>
      <c r="J339" s="28"/>
      <c r="K339" s="28"/>
      <c r="L339" s="30" t="s">
        <v>707</v>
      </c>
      <c r="M339" s="27"/>
    </row>
    <row r="340" spans="2:13" ht="33" customHeight="1" outlineLevel="1" x14ac:dyDescent="0.3">
      <c r="B340" s="218" t="str">
        <f>'Assesment outcomes'!F36</f>
        <v>Infrastructure components security configuration management</v>
      </c>
      <c r="C340" s="27" t="s">
        <v>323</v>
      </c>
      <c r="D340" s="27" t="s">
        <v>1725</v>
      </c>
      <c r="E340" s="28" t="s">
        <v>2074</v>
      </c>
      <c r="F340" s="29">
        <v>0</v>
      </c>
      <c r="G340" s="39">
        <f>(COUNTIF(E340:E340,$F$406))/COUNTA(E340:E340)</f>
        <v>0</v>
      </c>
      <c r="H340" s="205">
        <f>SUM(G341:G348)/4</f>
        <v>0</v>
      </c>
      <c r="I340" s="28">
        <v>0</v>
      </c>
      <c r="J340" s="28"/>
      <c r="K340" s="28"/>
      <c r="L340" s="28"/>
      <c r="M340" s="27"/>
    </row>
    <row r="341" spans="2:13" ht="33" customHeight="1" outlineLevel="2" x14ac:dyDescent="0.3">
      <c r="B341" s="218"/>
      <c r="C341" s="31" t="s">
        <v>324</v>
      </c>
      <c r="D341" s="31" t="s">
        <v>2067</v>
      </c>
      <c r="E341" s="28" t="s">
        <v>2074</v>
      </c>
      <c r="F341" s="206">
        <v>1</v>
      </c>
      <c r="G341" s="210">
        <f>(COUNTIF(E341:E342,$F$411)+(COUNTIF(E341:E342,$F$410)*0.5))/(COUNTA(E341:E342)-COUNTIF(E341:E342,$F$412))</f>
        <v>0</v>
      </c>
      <c r="H341" s="205"/>
      <c r="I341" s="28">
        <v>1</v>
      </c>
      <c r="J341" s="28"/>
      <c r="K341" s="28"/>
      <c r="L341" s="28"/>
      <c r="M341" s="27"/>
    </row>
    <row r="342" spans="2:13" ht="33" customHeight="1" outlineLevel="2" x14ac:dyDescent="0.3">
      <c r="B342" s="218"/>
      <c r="C342" s="31" t="s">
        <v>325</v>
      </c>
      <c r="D342" s="31" t="s">
        <v>1726</v>
      </c>
      <c r="E342" s="28" t="s">
        <v>2074</v>
      </c>
      <c r="F342" s="206"/>
      <c r="G342" s="210"/>
      <c r="H342" s="205"/>
      <c r="I342" s="28">
        <v>1</v>
      </c>
      <c r="J342" s="28"/>
      <c r="K342" s="28"/>
      <c r="L342" s="28"/>
      <c r="M342" s="27"/>
    </row>
    <row r="343" spans="2:13" ht="33" customHeight="1" outlineLevel="2" x14ac:dyDescent="0.3">
      <c r="B343" s="218"/>
      <c r="C343" s="27" t="s">
        <v>326</v>
      </c>
      <c r="D343" s="27" t="s">
        <v>1727</v>
      </c>
      <c r="E343" s="28" t="s">
        <v>2074</v>
      </c>
      <c r="F343" s="206">
        <v>2</v>
      </c>
      <c r="G343" s="210">
        <f>(COUNTIF(E343:E344,$F$411)+(COUNTIF(E343:E344,$F$410)*0.5))/(COUNTA(E343:E344)-COUNTIF(E343:E344,$F$412))</f>
        <v>0</v>
      </c>
      <c r="H343" s="205"/>
      <c r="I343" s="28">
        <v>2</v>
      </c>
      <c r="J343" s="28" t="s">
        <v>329</v>
      </c>
      <c r="K343" s="28"/>
      <c r="L343" s="28"/>
      <c r="M343" s="27"/>
    </row>
    <row r="344" spans="2:13" ht="33" customHeight="1" outlineLevel="2" x14ac:dyDescent="0.3">
      <c r="B344" s="218"/>
      <c r="C344" s="27" t="s">
        <v>327</v>
      </c>
      <c r="D344" s="27" t="s">
        <v>1728</v>
      </c>
      <c r="E344" s="28" t="s">
        <v>2074</v>
      </c>
      <c r="F344" s="206"/>
      <c r="G344" s="210"/>
      <c r="H344" s="205"/>
      <c r="I344" s="28">
        <v>2</v>
      </c>
      <c r="J344" s="28"/>
      <c r="K344" s="28"/>
      <c r="L344" s="28"/>
      <c r="M344" s="27"/>
    </row>
    <row r="345" spans="2:13" ht="33" customHeight="1" outlineLevel="2" x14ac:dyDescent="0.3">
      <c r="B345" s="218"/>
      <c r="C345" s="27" t="s">
        <v>328</v>
      </c>
      <c r="D345" s="27" t="s">
        <v>1729</v>
      </c>
      <c r="E345" s="28" t="s">
        <v>2074</v>
      </c>
      <c r="F345" s="206">
        <v>3</v>
      </c>
      <c r="G345" s="210">
        <f>(COUNTIF(E345:E347,$F$411)+(COUNTIF(E345:E347,$F$410)*0.5))/(COUNTA(E345:E347)-COUNTIF(E345:E347,$F$412))</f>
        <v>0</v>
      </c>
      <c r="H345" s="205"/>
      <c r="I345" s="28">
        <v>3</v>
      </c>
      <c r="J345" s="28" t="s">
        <v>329</v>
      </c>
      <c r="K345" s="28"/>
      <c r="L345" s="28"/>
      <c r="M345" s="27"/>
    </row>
    <row r="346" spans="2:13" ht="33" customHeight="1" outlineLevel="2" x14ac:dyDescent="0.3">
      <c r="B346" s="218"/>
      <c r="C346" s="27" t="s">
        <v>330</v>
      </c>
      <c r="D346" s="27" t="s">
        <v>1730</v>
      </c>
      <c r="E346" s="28" t="s">
        <v>2074</v>
      </c>
      <c r="F346" s="206"/>
      <c r="G346" s="210"/>
      <c r="H346" s="205"/>
      <c r="I346" s="28">
        <v>3</v>
      </c>
      <c r="J346" s="28"/>
      <c r="K346" s="28"/>
      <c r="L346" s="28"/>
      <c r="M346" s="27"/>
    </row>
    <row r="347" spans="2:13" ht="33" customHeight="1" outlineLevel="2" x14ac:dyDescent="0.3">
      <c r="B347" s="218"/>
      <c r="C347" s="27" t="s">
        <v>331</v>
      </c>
      <c r="D347" s="27" t="s">
        <v>1731</v>
      </c>
      <c r="E347" s="28" t="s">
        <v>2074</v>
      </c>
      <c r="F347" s="206"/>
      <c r="G347" s="210"/>
      <c r="H347" s="205"/>
      <c r="I347" s="28">
        <v>3</v>
      </c>
      <c r="J347" s="28"/>
      <c r="K347" s="28"/>
      <c r="L347" s="28"/>
      <c r="M347" s="27"/>
    </row>
    <row r="348" spans="2:13" ht="33" customHeight="1" outlineLevel="2" x14ac:dyDescent="0.3">
      <c r="B348" s="218"/>
      <c r="C348" s="31" t="s">
        <v>332</v>
      </c>
      <c r="D348" s="31" t="s">
        <v>1732</v>
      </c>
      <c r="E348" s="28" t="s">
        <v>2074</v>
      </c>
      <c r="F348" s="29">
        <v>4</v>
      </c>
      <c r="G348" s="39">
        <f>(COUNTIF(E348,$F$411)+(COUNTIF(E348,$F$410)*0.5))/COUNTA(E348)</f>
        <v>0</v>
      </c>
      <c r="H348" s="205"/>
      <c r="I348" s="28">
        <v>5</v>
      </c>
      <c r="J348" s="28"/>
      <c r="K348" s="28"/>
      <c r="L348" s="28"/>
      <c r="M348" s="27"/>
    </row>
    <row r="349" spans="2:13" customFormat="1" ht="6" customHeight="1" outlineLevel="1" x14ac:dyDescent="0.25"/>
    <row r="350" spans="2:13" ht="33" customHeight="1" x14ac:dyDescent="0.3">
      <c r="B350" s="209" t="s">
        <v>2086</v>
      </c>
      <c r="C350" s="209"/>
      <c r="D350" s="209"/>
      <c r="E350" s="209"/>
      <c r="F350" s="209"/>
      <c r="G350" s="209"/>
      <c r="H350" s="209"/>
      <c r="I350" s="209"/>
      <c r="J350" s="209"/>
      <c r="K350" s="209"/>
      <c r="L350" s="209"/>
      <c r="M350" s="209"/>
    </row>
    <row r="351" spans="2:13" ht="33" customHeight="1" outlineLevel="1" x14ac:dyDescent="0.3">
      <c r="B351" s="218" t="str">
        <f>'Assesment outcomes'!F37</f>
        <v>Security defects handling</v>
      </c>
      <c r="C351" s="27" t="s">
        <v>333</v>
      </c>
      <c r="D351" s="27" t="s">
        <v>1733</v>
      </c>
      <c r="E351" s="28" t="s">
        <v>2074</v>
      </c>
      <c r="F351" s="29">
        <v>0</v>
      </c>
      <c r="G351" s="39">
        <f>(COUNTIF(E351:E351,$F$406))/COUNTA(E351:E351)</f>
        <v>0</v>
      </c>
      <c r="H351" s="205">
        <f>SUM(G352:G358)/4</f>
        <v>0</v>
      </c>
      <c r="I351" s="28">
        <v>0</v>
      </c>
      <c r="J351" s="28"/>
      <c r="K351" s="28" t="s">
        <v>1350</v>
      </c>
      <c r="L351" s="28"/>
      <c r="M351" s="27"/>
    </row>
    <row r="352" spans="2:13" ht="33" customHeight="1" outlineLevel="2" x14ac:dyDescent="0.3">
      <c r="B352" s="218"/>
      <c r="C352" s="27" t="s">
        <v>334</v>
      </c>
      <c r="D352" s="27" t="s">
        <v>2069</v>
      </c>
      <c r="E352" s="28" t="s">
        <v>2074</v>
      </c>
      <c r="F352" s="29">
        <v>1</v>
      </c>
      <c r="G352" s="39">
        <f>(COUNTIF(E352,$F$411)+(COUNTIF(E352,$F$410)*0.5))/COUNTA(E352)</f>
        <v>0</v>
      </c>
      <c r="H352" s="205"/>
      <c r="I352" s="28">
        <v>1</v>
      </c>
      <c r="J352" s="28"/>
      <c r="K352" s="28">
        <v>135</v>
      </c>
      <c r="L352" s="28" t="s">
        <v>702</v>
      </c>
      <c r="M352" s="27"/>
    </row>
    <row r="353" spans="2:13" ht="33" customHeight="1" outlineLevel="2" x14ac:dyDescent="0.3">
      <c r="B353" s="218"/>
      <c r="C353" s="27" t="s">
        <v>335</v>
      </c>
      <c r="D353" s="27" t="s">
        <v>1734</v>
      </c>
      <c r="E353" s="28" t="s">
        <v>2074</v>
      </c>
      <c r="F353" s="206">
        <v>2</v>
      </c>
      <c r="G353" s="210">
        <f>(COUNTIF(E353:E354,$F$411)+(COUNTIF(E353:E354,$F$410)*0.5))/(COUNTA(E353:E354)-COUNTIF(E353:E354,$F$412))</f>
        <v>0</v>
      </c>
      <c r="H353" s="205"/>
      <c r="I353" s="28">
        <v>2</v>
      </c>
      <c r="J353" s="28"/>
      <c r="K353" s="28">
        <v>168</v>
      </c>
      <c r="L353" s="28" t="s">
        <v>702</v>
      </c>
      <c r="M353" s="27"/>
    </row>
    <row r="354" spans="2:13" ht="33" customHeight="1" outlineLevel="2" x14ac:dyDescent="0.3">
      <c r="B354" s="218"/>
      <c r="C354" s="27" t="s">
        <v>336</v>
      </c>
      <c r="D354" s="27" t="s">
        <v>1735</v>
      </c>
      <c r="E354" s="28" t="s">
        <v>2074</v>
      </c>
      <c r="F354" s="206"/>
      <c r="G354" s="210"/>
      <c r="H354" s="205"/>
      <c r="I354" s="28">
        <v>2</v>
      </c>
      <c r="J354" s="28" t="s">
        <v>657</v>
      </c>
      <c r="K354" s="30" t="s">
        <v>1351</v>
      </c>
      <c r="L354" s="30" t="s">
        <v>415</v>
      </c>
      <c r="M354" s="27"/>
    </row>
    <row r="355" spans="2:13" ht="33" customHeight="1" outlineLevel="2" x14ac:dyDescent="0.3">
      <c r="B355" s="218"/>
      <c r="C355" s="27" t="s">
        <v>337</v>
      </c>
      <c r="D355" s="27" t="s">
        <v>2090</v>
      </c>
      <c r="E355" s="28" t="s">
        <v>2074</v>
      </c>
      <c r="F355" s="206">
        <v>3</v>
      </c>
      <c r="G355" s="210">
        <f>(COUNTIF(E355:E357,$F$411)+(COUNTIF(E355:E357,$F$410)*0.5))/(COUNTA(E355:E357)-COUNTIF(E355:E357,$F$412))</f>
        <v>0</v>
      </c>
      <c r="H355" s="205"/>
      <c r="I355" s="28">
        <v>3</v>
      </c>
      <c r="J355" s="28" t="s">
        <v>674</v>
      </c>
      <c r="K355" s="28"/>
      <c r="L355" s="28" t="s">
        <v>702</v>
      </c>
      <c r="M355" s="27"/>
    </row>
    <row r="356" spans="2:13" ht="33" customHeight="1" outlineLevel="2" x14ac:dyDescent="0.3">
      <c r="B356" s="218"/>
      <c r="C356" s="27" t="s">
        <v>338</v>
      </c>
      <c r="D356" s="27" t="s">
        <v>1736</v>
      </c>
      <c r="E356" s="28" t="s">
        <v>2074</v>
      </c>
      <c r="F356" s="206"/>
      <c r="G356" s="210"/>
      <c r="H356" s="205"/>
      <c r="I356" s="28">
        <v>3</v>
      </c>
      <c r="J356" s="28"/>
      <c r="K356" s="28"/>
      <c r="L356" s="28" t="s">
        <v>718</v>
      </c>
      <c r="M356" s="27"/>
    </row>
    <row r="357" spans="2:13" ht="33" customHeight="1" outlineLevel="2" x14ac:dyDescent="0.3">
      <c r="B357" s="218"/>
      <c r="C357" s="27" t="s">
        <v>339</v>
      </c>
      <c r="D357" s="27" t="s">
        <v>1737</v>
      </c>
      <c r="E357" s="28" t="s">
        <v>2074</v>
      </c>
      <c r="F357" s="206"/>
      <c r="G357" s="210"/>
      <c r="H357" s="205"/>
      <c r="I357" s="28">
        <v>3</v>
      </c>
      <c r="J357" s="28" t="s">
        <v>296</v>
      </c>
      <c r="K357" s="28" t="s">
        <v>1352</v>
      </c>
      <c r="L357" s="28" t="s">
        <v>681</v>
      </c>
      <c r="M357" s="27"/>
    </row>
    <row r="358" spans="2:13" ht="33" customHeight="1" outlineLevel="2" x14ac:dyDescent="0.3">
      <c r="B358" s="218"/>
      <c r="C358" s="27" t="s">
        <v>340</v>
      </c>
      <c r="D358" s="27" t="s">
        <v>1738</v>
      </c>
      <c r="E358" s="28" t="s">
        <v>2074</v>
      </c>
      <c r="F358" s="29">
        <v>4</v>
      </c>
      <c r="G358" s="39">
        <f>(COUNTIF(E358,$F$411)+(COUNTIF(E358,$F$410)*0.5))/COUNTA(E358)</f>
        <v>0</v>
      </c>
      <c r="H358" s="205"/>
      <c r="I358" s="28">
        <v>7</v>
      </c>
      <c r="J358" s="28"/>
      <c r="K358" s="28"/>
      <c r="L358" s="28" t="s">
        <v>702</v>
      </c>
      <c r="M358" s="27"/>
    </row>
    <row r="359" spans="2:13" ht="33" customHeight="1" outlineLevel="1" x14ac:dyDescent="0.3">
      <c r="B359" s="218" t="str">
        <f>'Assesment outcomes'!F38</f>
        <v>Security defects consolidation</v>
      </c>
      <c r="C359" s="27" t="s">
        <v>341</v>
      </c>
      <c r="D359" s="27" t="s">
        <v>1739</v>
      </c>
      <c r="E359" s="28" t="s">
        <v>2074</v>
      </c>
      <c r="F359" s="29">
        <v>0</v>
      </c>
      <c r="G359" s="39">
        <f>(COUNTIF(E359:E359,$F$406))/COUNTA(E359:E359)</f>
        <v>0</v>
      </c>
      <c r="H359" s="205">
        <f>SUM(G360:G366)/4</f>
        <v>0</v>
      </c>
      <c r="I359" s="28">
        <v>0</v>
      </c>
      <c r="J359" s="28"/>
      <c r="K359" s="28">
        <v>140</v>
      </c>
      <c r="L359" s="28" t="s">
        <v>702</v>
      </c>
      <c r="M359" s="27"/>
    </row>
    <row r="360" spans="2:13" ht="33" customHeight="1" outlineLevel="2" x14ac:dyDescent="0.3">
      <c r="B360" s="218"/>
      <c r="C360" s="27" t="s">
        <v>342</v>
      </c>
      <c r="D360" s="27" t="s">
        <v>1740</v>
      </c>
      <c r="E360" s="28" t="s">
        <v>2074</v>
      </c>
      <c r="F360" s="206">
        <v>1</v>
      </c>
      <c r="G360" s="210">
        <f>(COUNTIF(E360:E361,$F$411)+(COUNTIF(E360:E361,$F$410)*0.5))/(COUNTA(E360:E361)-COUNTIF(E360:E361,$F$412))</f>
        <v>0</v>
      </c>
      <c r="H360" s="205"/>
      <c r="I360" s="28">
        <v>3</v>
      </c>
      <c r="J360" s="28" t="s">
        <v>343</v>
      </c>
      <c r="K360" s="28">
        <v>140</v>
      </c>
      <c r="L360" s="28"/>
      <c r="M360" s="27"/>
    </row>
    <row r="361" spans="2:13" ht="33" customHeight="1" outlineLevel="2" x14ac:dyDescent="0.3">
      <c r="B361" s="218"/>
      <c r="C361" s="27" t="s">
        <v>344</v>
      </c>
      <c r="D361" s="27" t="s">
        <v>1741</v>
      </c>
      <c r="E361" s="28" t="s">
        <v>2074</v>
      </c>
      <c r="F361" s="206"/>
      <c r="G361" s="210"/>
      <c r="H361" s="205"/>
      <c r="I361" s="28">
        <v>3</v>
      </c>
      <c r="J361" s="28"/>
      <c r="K361" s="28"/>
      <c r="L361" s="28"/>
      <c r="M361" s="27"/>
    </row>
    <row r="362" spans="2:13" ht="33" customHeight="1" outlineLevel="2" x14ac:dyDescent="0.3">
      <c r="B362" s="218"/>
      <c r="C362" s="27" t="s">
        <v>345</v>
      </c>
      <c r="D362" s="27" t="s">
        <v>1742</v>
      </c>
      <c r="E362" s="28" t="s">
        <v>2074</v>
      </c>
      <c r="F362" s="29">
        <v>2</v>
      </c>
      <c r="G362" s="39">
        <f>(COUNTIF(E362,$F$411)+(COUNTIF(E362,$F$410)*0.5))/COUNTA(E362)</f>
        <v>0</v>
      </c>
      <c r="H362" s="205"/>
      <c r="I362" s="28">
        <v>4</v>
      </c>
      <c r="J362" s="28" t="s">
        <v>343</v>
      </c>
      <c r="K362" s="28">
        <v>140</v>
      </c>
      <c r="L362" s="28"/>
      <c r="M362" s="27"/>
    </row>
    <row r="363" spans="2:13" ht="33" customHeight="1" outlineLevel="2" x14ac:dyDescent="0.3">
      <c r="B363" s="218"/>
      <c r="C363" s="27" t="s">
        <v>346</v>
      </c>
      <c r="D363" s="27" t="s">
        <v>1743</v>
      </c>
      <c r="E363" s="28" t="s">
        <v>2074</v>
      </c>
      <c r="F363" s="206">
        <v>3</v>
      </c>
      <c r="G363" s="210">
        <f>(COUNTIF(E363:E365,$F$411)+(COUNTIF(E363:E365,$F$410)*0.5))/(COUNTA(E363:E365)-COUNTIF(E363:E365,$F$412))</f>
        <v>0</v>
      </c>
      <c r="H363" s="205"/>
      <c r="I363" s="28">
        <v>5</v>
      </c>
      <c r="J363" s="28" t="s">
        <v>675</v>
      </c>
      <c r="K363" s="28"/>
      <c r="L363" s="28"/>
      <c r="M363" s="27"/>
    </row>
    <row r="364" spans="2:13" ht="33" customHeight="1" outlineLevel="2" x14ac:dyDescent="0.3">
      <c r="B364" s="218"/>
      <c r="C364" s="27" t="s">
        <v>347</v>
      </c>
      <c r="D364" s="27" t="s">
        <v>1744</v>
      </c>
      <c r="E364" s="28" t="s">
        <v>2074</v>
      </c>
      <c r="F364" s="206"/>
      <c r="G364" s="210"/>
      <c r="H364" s="205"/>
      <c r="I364" s="28">
        <v>5</v>
      </c>
      <c r="J364" s="28" t="s">
        <v>676</v>
      </c>
      <c r="K364" s="28"/>
      <c r="L364" s="28"/>
      <c r="M364" s="27"/>
    </row>
    <row r="365" spans="2:13" ht="33" customHeight="1" outlineLevel="2" x14ac:dyDescent="0.3">
      <c r="B365" s="218"/>
      <c r="C365" s="27" t="s">
        <v>348</v>
      </c>
      <c r="D365" s="27" t="s">
        <v>1745</v>
      </c>
      <c r="E365" s="28" t="s">
        <v>2074</v>
      </c>
      <c r="F365" s="206"/>
      <c r="G365" s="210"/>
      <c r="H365" s="205"/>
      <c r="I365" s="28">
        <v>6</v>
      </c>
      <c r="J365" s="28" t="s">
        <v>676</v>
      </c>
      <c r="K365" s="28"/>
      <c r="L365" s="28"/>
      <c r="M365" s="27"/>
    </row>
    <row r="366" spans="2:13" ht="33" customHeight="1" outlineLevel="2" x14ac:dyDescent="0.3">
      <c r="B366" s="218"/>
      <c r="C366" s="31" t="s">
        <v>349</v>
      </c>
      <c r="D366" s="31" t="s">
        <v>1746</v>
      </c>
      <c r="E366" s="28" t="s">
        <v>2074</v>
      </c>
      <c r="F366" s="29">
        <v>4</v>
      </c>
      <c r="G366" s="39">
        <f>(COUNTIF(E366,$F$411)+(COUNTIF(E366,$F$410)*0.5))/COUNTA(E366)</f>
        <v>0</v>
      </c>
      <c r="H366" s="205"/>
      <c r="I366" s="28">
        <v>6</v>
      </c>
      <c r="J366" s="28"/>
      <c r="K366" s="28"/>
      <c r="L366" s="28"/>
      <c r="M366" s="27"/>
    </row>
    <row r="367" spans="2:13" customFormat="1" ht="6" customHeight="1" outlineLevel="1" x14ac:dyDescent="0.25"/>
    <row r="368" spans="2:13" ht="33" customHeight="1" x14ac:dyDescent="0.3">
      <c r="B368" s="214" t="s">
        <v>2087</v>
      </c>
      <c r="C368" s="214"/>
      <c r="D368" s="214"/>
      <c r="E368" s="214"/>
      <c r="F368" s="214"/>
      <c r="G368" s="214"/>
      <c r="H368" s="214"/>
      <c r="I368" s="214"/>
      <c r="J368" s="214"/>
      <c r="K368" s="214"/>
      <c r="L368" s="214"/>
      <c r="M368" s="214"/>
    </row>
    <row r="369" spans="2:13" ht="33" customHeight="1" outlineLevel="1" x14ac:dyDescent="0.3">
      <c r="B369" s="218" t="str">
        <f>'Assesment outcomes'!F39</f>
        <v>Security metrics management</v>
      </c>
      <c r="C369" s="31" t="s">
        <v>350</v>
      </c>
      <c r="D369" s="31" t="s">
        <v>1747</v>
      </c>
      <c r="E369" s="28" t="s">
        <v>2074</v>
      </c>
      <c r="F369" s="29">
        <v>0</v>
      </c>
      <c r="G369" s="39">
        <f>(COUNTIF(E369:E369,$F$406))/COUNTA(E369:E369)</f>
        <v>0</v>
      </c>
      <c r="H369" s="205">
        <f>SUM(G370:G373)/2</f>
        <v>0</v>
      </c>
      <c r="I369" s="28">
        <v>0</v>
      </c>
      <c r="J369" s="28"/>
      <c r="K369" s="28"/>
      <c r="L369" s="28"/>
      <c r="M369" s="27"/>
    </row>
    <row r="370" spans="2:13" ht="33" customHeight="1" outlineLevel="2" x14ac:dyDescent="0.3">
      <c r="B370" s="218"/>
      <c r="C370" s="31" t="s">
        <v>351</v>
      </c>
      <c r="D370" s="31" t="s">
        <v>1748</v>
      </c>
      <c r="E370" s="28" t="s">
        <v>2074</v>
      </c>
      <c r="F370" s="206">
        <v>2</v>
      </c>
      <c r="G370" s="210">
        <f>(COUNTIF(E370:E371,$F$411)+(COUNTIF(E370:E371,$F$410)*0.5))/(COUNTA(E370:E371)-COUNTIF(E370:E371,$F$412))</f>
        <v>0</v>
      </c>
      <c r="H370" s="205"/>
      <c r="I370" s="28">
        <v>3</v>
      </c>
      <c r="J370" s="28" t="s">
        <v>352</v>
      </c>
      <c r="K370" s="28"/>
      <c r="L370" s="28" t="s">
        <v>353</v>
      </c>
      <c r="M370" s="27"/>
    </row>
    <row r="371" spans="2:13" ht="33" customHeight="1" outlineLevel="2" x14ac:dyDescent="0.3">
      <c r="B371" s="218"/>
      <c r="C371" s="31" t="s">
        <v>354</v>
      </c>
      <c r="D371" s="31" t="s">
        <v>1749</v>
      </c>
      <c r="E371" s="28" t="s">
        <v>2074</v>
      </c>
      <c r="F371" s="206"/>
      <c r="G371" s="210"/>
      <c r="H371" s="205"/>
      <c r="I371" s="28">
        <v>3</v>
      </c>
      <c r="J371" s="28"/>
      <c r="K371" s="28"/>
      <c r="L371" s="28" t="s">
        <v>355</v>
      </c>
      <c r="M371" s="27"/>
    </row>
    <row r="372" spans="2:13" ht="33" customHeight="1" outlineLevel="2" x14ac:dyDescent="0.3">
      <c r="B372" s="218"/>
      <c r="C372" s="27" t="s">
        <v>356</v>
      </c>
      <c r="D372" s="31" t="s">
        <v>1750</v>
      </c>
      <c r="E372" s="28" t="s">
        <v>2074</v>
      </c>
      <c r="F372" s="206">
        <v>3</v>
      </c>
      <c r="G372" s="210">
        <f>(COUNTIF(E372:E373,$F$411)+(COUNTIF(E372:E373,$F$410)*0.5))/(COUNTA(E372:E373)-COUNTIF(E372:E373,$F$412))</f>
        <v>0</v>
      </c>
      <c r="H372" s="205"/>
      <c r="I372" s="28">
        <v>4</v>
      </c>
      <c r="J372" s="28" t="s">
        <v>352</v>
      </c>
      <c r="K372" s="28"/>
      <c r="L372" s="28"/>
      <c r="M372" s="27"/>
    </row>
    <row r="373" spans="2:13" ht="33" customHeight="1" outlineLevel="2" x14ac:dyDescent="0.3">
      <c r="B373" s="218"/>
      <c r="C373" s="27" t="str">
        <f>SAMM_mapping!F9</f>
        <v>P-MET-SET-3-2</v>
      </c>
      <c r="D373" s="31" t="s">
        <v>1751</v>
      </c>
      <c r="E373" s="28" t="s">
        <v>2074</v>
      </c>
      <c r="F373" s="206"/>
      <c r="G373" s="210"/>
      <c r="H373" s="205"/>
      <c r="I373" s="28">
        <v>4</v>
      </c>
      <c r="J373" s="28"/>
      <c r="K373" s="28"/>
      <c r="L373" s="28" t="s">
        <v>361</v>
      </c>
      <c r="M373" s="27"/>
    </row>
    <row r="374" spans="2:13" ht="33" customHeight="1" outlineLevel="1" x14ac:dyDescent="0.3">
      <c r="B374" s="218" t="str">
        <f>'Assesment outcomes'!F40</f>
        <v>Security metrics compliance control</v>
      </c>
      <c r="C374" s="31" t="s">
        <v>358</v>
      </c>
      <c r="D374" s="31" t="s">
        <v>1752</v>
      </c>
      <c r="E374" s="28" t="s">
        <v>2074</v>
      </c>
      <c r="F374" s="29">
        <v>0</v>
      </c>
      <c r="G374" s="39">
        <f>(COUNTIF(E374:E374,$F$406))/COUNTA(E374:E374)</f>
        <v>0</v>
      </c>
      <c r="H374" s="205">
        <f>SUM(G375:G380)/3</f>
        <v>0</v>
      </c>
      <c r="I374" s="28">
        <v>0</v>
      </c>
      <c r="J374" s="28"/>
      <c r="K374" s="28"/>
      <c r="L374" s="28" t="s">
        <v>361</v>
      </c>
      <c r="M374" s="27"/>
    </row>
    <row r="375" spans="2:13" ht="33" customHeight="1" outlineLevel="2" x14ac:dyDescent="0.3">
      <c r="B375" s="218"/>
      <c r="C375" s="31" t="s">
        <v>359</v>
      </c>
      <c r="D375" s="31" t="s">
        <v>1753</v>
      </c>
      <c r="E375" s="28" t="s">
        <v>2074</v>
      </c>
      <c r="F375" s="206">
        <v>2</v>
      </c>
      <c r="G375" s="210">
        <f>(COUNTIF(E375:E376,$F$411)+(COUNTIF(E375:E376,$F$410)*0.5))/(COUNTA(E375:E376)-COUNTIF(E375:E376,$F$412))</f>
        <v>0</v>
      </c>
      <c r="H375" s="205"/>
      <c r="I375" s="28">
        <v>3</v>
      </c>
      <c r="J375" s="28" t="s">
        <v>352</v>
      </c>
      <c r="K375" s="28"/>
      <c r="L375" s="28"/>
      <c r="M375" s="27"/>
    </row>
    <row r="376" spans="2:13" ht="33" customHeight="1" outlineLevel="2" x14ac:dyDescent="0.3">
      <c r="B376" s="218"/>
      <c r="C376" s="31" t="s">
        <v>360</v>
      </c>
      <c r="D376" s="31" t="s">
        <v>1754</v>
      </c>
      <c r="E376" s="28" t="s">
        <v>2074</v>
      </c>
      <c r="F376" s="206"/>
      <c r="G376" s="210"/>
      <c r="H376" s="205"/>
      <c r="I376" s="28">
        <v>3</v>
      </c>
      <c r="J376" s="28"/>
      <c r="K376" s="28"/>
      <c r="L376" s="28"/>
      <c r="M376" s="27"/>
    </row>
    <row r="377" spans="2:13" ht="33" customHeight="1" outlineLevel="2" x14ac:dyDescent="0.3">
      <c r="B377" s="218"/>
      <c r="C377" s="27" t="s">
        <v>362</v>
      </c>
      <c r="D377" s="27" t="s">
        <v>1755</v>
      </c>
      <c r="E377" s="28" t="s">
        <v>2074</v>
      </c>
      <c r="F377" s="206">
        <v>3</v>
      </c>
      <c r="G377" s="210">
        <f>(COUNTIF(E377:E379,$F$411)+(COUNTIF(E377:E379,$F$410)*0.5))/(COUNTA(E377:E379)-COUNTIF(E377:E379,$F$412))</f>
        <v>0</v>
      </c>
      <c r="H377" s="205"/>
      <c r="I377" s="28">
        <v>4</v>
      </c>
      <c r="J377" s="28"/>
      <c r="K377" s="28"/>
      <c r="L377" s="28"/>
      <c r="M377" s="27"/>
    </row>
    <row r="378" spans="2:13" ht="33" customHeight="1" outlineLevel="2" x14ac:dyDescent="0.3">
      <c r="B378" s="218"/>
      <c r="C378" s="27" t="s">
        <v>363</v>
      </c>
      <c r="D378" s="27" t="s">
        <v>1756</v>
      </c>
      <c r="E378" s="28" t="s">
        <v>2074</v>
      </c>
      <c r="F378" s="206"/>
      <c r="G378" s="210"/>
      <c r="H378" s="205"/>
      <c r="I378" s="28">
        <v>4</v>
      </c>
      <c r="J378" s="28"/>
      <c r="K378" s="28"/>
      <c r="L378" s="28"/>
      <c r="M378" s="27"/>
    </row>
    <row r="379" spans="2:13" ht="33" customHeight="1" outlineLevel="2" x14ac:dyDescent="0.3">
      <c r="B379" s="218"/>
      <c r="C379" s="27" t="s">
        <v>364</v>
      </c>
      <c r="D379" s="27" t="s">
        <v>1757</v>
      </c>
      <c r="E379" s="28" t="s">
        <v>2074</v>
      </c>
      <c r="F379" s="206"/>
      <c r="G379" s="210"/>
      <c r="H379" s="205"/>
      <c r="I379" s="28">
        <v>4</v>
      </c>
      <c r="J379" s="28" t="s">
        <v>388</v>
      </c>
      <c r="K379" s="28"/>
      <c r="L379" s="28"/>
      <c r="M379" s="27"/>
    </row>
    <row r="380" spans="2:13" ht="33" customHeight="1" outlineLevel="2" x14ac:dyDescent="0.3">
      <c r="B380" s="218"/>
      <c r="C380" s="31" t="s">
        <v>365</v>
      </c>
      <c r="D380" s="31" t="s">
        <v>1758</v>
      </c>
      <c r="E380" s="28" t="s">
        <v>2074</v>
      </c>
      <c r="F380" s="29">
        <v>4</v>
      </c>
      <c r="G380" s="39">
        <f>(COUNTIF(E380,$F$411)+(COUNTIF(E380,$F$410)*0.5))/COUNTA(E380)</f>
        <v>0</v>
      </c>
      <c r="H380" s="205"/>
      <c r="I380" s="28">
        <v>6</v>
      </c>
      <c r="J380" s="28" t="s">
        <v>389</v>
      </c>
      <c r="K380" s="28"/>
      <c r="L380" s="28"/>
      <c r="M380" s="27"/>
    </row>
    <row r="381" spans="2:13" customFormat="1" ht="6" customHeight="1" outlineLevel="1" x14ac:dyDescent="0.25"/>
    <row r="382" spans="2:13" ht="33" customHeight="1" x14ac:dyDescent="0.3">
      <c r="B382" s="216" t="s">
        <v>2088</v>
      </c>
      <c r="C382" s="216"/>
      <c r="D382" s="216"/>
      <c r="E382" s="216"/>
      <c r="F382" s="216"/>
      <c r="G382" s="216"/>
      <c r="H382" s="216"/>
      <c r="I382" s="216"/>
      <c r="J382" s="216"/>
      <c r="K382" s="216"/>
      <c r="L382" s="216"/>
      <c r="M382" s="216"/>
    </row>
    <row r="383" spans="2:13" ht="33" customHeight="1" outlineLevel="1" x14ac:dyDescent="0.3">
      <c r="B383" s="218" t="str">
        <f>'Assesment outcomes'!F41</f>
        <v>Security Champions</v>
      </c>
      <c r="C383" s="31" t="s">
        <v>366</v>
      </c>
      <c r="D383" s="31" t="s">
        <v>1759</v>
      </c>
      <c r="E383" s="28" t="s">
        <v>2074</v>
      </c>
      <c r="F383" s="92">
        <v>0</v>
      </c>
      <c r="G383" s="79">
        <f>(COUNTIF(E383:E383,$F$406))/COUNTA(E383:E383)</f>
        <v>0</v>
      </c>
      <c r="H383" s="205">
        <f>SUM(G384:G394)/4</f>
        <v>0</v>
      </c>
      <c r="I383" s="28">
        <v>0</v>
      </c>
      <c r="J383" s="28" t="s">
        <v>367</v>
      </c>
      <c r="K383" s="28">
        <v>50</v>
      </c>
      <c r="L383" s="28" t="s">
        <v>719</v>
      </c>
      <c r="M383" s="27"/>
    </row>
    <row r="384" spans="2:13" ht="33" customHeight="1" outlineLevel="2" x14ac:dyDescent="0.3">
      <c r="B384" s="218"/>
      <c r="C384" s="31" t="s">
        <v>368</v>
      </c>
      <c r="D384" s="31" t="s">
        <v>1760</v>
      </c>
      <c r="E384" s="28" t="s">
        <v>2074</v>
      </c>
      <c r="F384" s="92">
        <v>1</v>
      </c>
      <c r="G384" s="79">
        <f>(COUNTIF(E384,$F$411)+(COUNTIF(E384,$F$410)*0.5))/COUNTA(E384)</f>
        <v>0</v>
      </c>
      <c r="H384" s="205"/>
      <c r="I384" s="28">
        <v>1</v>
      </c>
      <c r="J384" s="28"/>
      <c r="K384" s="28"/>
      <c r="L384" s="28"/>
      <c r="M384" s="27"/>
    </row>
    <row r="385" spans="2:13" ht="33" customHeight="1" outlineLevel="2" x14ac:dyDescent="0.3">
      <c r="B385" s="218"/>
      <c r="C385" s="31" t="s">
        <v>369</v>
      </c>
      <c r="D385" s="31" t="s">
        <v>1761</v>
      </c>
      <c r="E385" s="28" t="s">
        <v>2074</v>
      </c>
      <c r="F385" s="219">
        <v>2</v>
      </c>
      <c r="G385" s="210">
        <f>(COUNTIF(E385:E386,$F$411)+(COUNTIF(E385:E386,$F$410)*0.5))/(COUNTA(E385:E386)-COUNTIF(E385:E386,$F$412))</f>
        <v>0</v>
      </c>
      <c r="H385" s="205"/>
      <c r="I385" s="28">
        <v>3</v>
      </c>
      <c r="J385" s="28"/>
      <c r="K385" s="28">
        <v>50</v>
      </c>
      <c r="L385" s="28" t="s">
        <v>719</v>
      </c>
      <c r="M385" s="27"/>
    </row>
    <row r="386" spans="2:13" ht="33" customHeight="1" outlineLevel="2" x14ac:dyDescent="0.3">
      <c r="B386" s="218"/>
      <c r="C386" s="31" t="s">
        <v>371</v>
      </c>
      <c r="D386" s="31" t="s">
        <v>1762</v>
      </c>
      <c r="E386" s="28" t="s">
        <v>2074</v>
      </c>
      <c r="F386" s="219"/>
      <c r="G386" s="210"/>
      <c r="H386" s="205"/>
      <c r="I386" s="28">
        <v>3</v>
      </c>
      <c r="J386" s="28"/>
      <c r="K386" s="28">
        <v>43</v>
      </c>
      <c r="L386" s="28"/>
      <c r="M386" s="27"/>
    </row>
    <row r="387" spans="2:13" ht="33" customHeight="1" outlineLevel="2" x14ac:dyDescent="0.3">
      <c r="B387" s="218"/>
      <c r="C387" s="27" t="s">
        <v>372</v>
      </c>
      <c r="D387" s="27" t="s">
        <v>1763</v>
      </c>
      <c r="E387" s="28" t="s">
        <v>2074</v>
      </c>
      <c r="F387" s="219">
        <v>3</v>
      </c>
      <c r="G387" s="210">
        <f>(COUNTIF(E387:E390,$F$411)+(COUNTIF(E387:E390,$F$410)*0.5))/(COUNTA(E387:E390)-COUNTIF(E387:E390,$F$412))</f>
        <v>0</v>
      </c>
      <c r="H387" s="205"/>
      <c r="I387" s="28">
        <v>4</v>
      </c>
      <c r="J387" s="28"/>
      <c r="K387" s="28"/>
      <c r="L387" s="28"/>
      <c r="M387" s="27"/>
    </row>
    <row r="388" spans="2:13" ht="33" customHeight="1" outlineLevel="2" x14ac:dyDescent="0.3">
      <c r="B388" s="218"/>
      <c r="C388" s="27" t="s">
        <v>373</v>
      </c>
      <c r="D388" s="27" t="s">
        <v>1764</v>
      </c>
      <c r="E388" s="28" t="s">
        <v>2074</v>
      </c>
      <c r="F388" s="219"/>
      <c r="G388" s="210"/>
      <c r="H388" s="205"/>
      <c r="I388" s="28">
        <v>4</v>
      </c>
      <c r="J388" s="28" t="s">
        <v>374</v>
      </c>
      <c r="K388" s="28"/>
      <c r="L388" s="28"/>
      <c r="M388" s="27"/>
    </row>
    <row r="389" spans="2:13" ht="33" customHeight="1" outlineLevel="2" x14ac:dyDescent="0.3">
      <c r="B389" s="218"/>
      <c r="C389" s="27" t="s">
        <v>375</v>
      </c>
      <c r="D389" s="27" t="s">
        <v>1765</v>
      </c>
      <c r="E389" s="28" t="s">
        <v>2074</v>
      </c>
      <c r="F389" s="219"/>
      <c r="G389" s="210"/>
      <c r="H389" s="205"/>
      <c r="I389" s="28">
        <v>4</v>
      </c>
      <c r="J389" s="28"/>
      <c r="K389" s="28"/>
      <c r="L389" s="28" t="s">
        <v>720</v>
      </c>
      <c r="M389" s="27"/>
    </row>
    <row r="390" spans="2:13" ht="33" customHeight="1" outlineLevel="2" x14ac:dyDescent="0.3">
      <c r="B390" s="218"/>
      <c r="C390" s="27" t="s">
        <v>376</v>
      </c>
      <c r="D390" s="27" t="s">
        <v>1766</v>
      </c>
      <c r="E390" s="28" t="s">
        <v>2074</v>
      </c>
      <c r="F390" s="219"/>
      <c r="G390" s="210"/>
      <c r="H390" s="205"/>
      <c r="I390" s="28">
        <v>4</v>
      </c>
      <c r="J390" s="28"/>
      <c r="K390" s="28"/>
      <c r="L390" s="28"/>
      <c r="M390" s="27"/>
    </row>
    <row r="391" spans="2:13" ht="33" customHeight="1" outlineLevel="2" x14ac:dyDescent="0.3">
      <c r="B391" s="218"/>
      <c r="C391" s="27" t="s">
        <v>377</v>
      </c>
      <c r="D391" s="27" t="s">
        <v>1767</v>
      </c>
      <c r="E391" s="28" t="s">
        <v>2074</v>
      </c>
      <c r="F391" s="219">
        <v>4</v>
      </c>
      <c r="G391" s="210">
        <f>(COUNTIF(E391:E394,$F$411)+(COUNTIF(E391:E394,$F$410)*0.5))/(COUNTA(E391:E394)-COUNTIF(E391:E394,$F$412))</f>
        <v>0</v>
      </c>
      <c r="H391" s="205"/>
      <c r="I391" s="28">
        <v>7</v>
      </c>
      <c r="J391" s="28" t="s">
        <v>677</v>
      </c>
      <c r="K391" s="28"/>
      <c r="L391" s="28"/>
      <c r="M391" s="27"/>
    </row>
    <row r="392" spans="2:13" ht="33" customHeight="1" outlineLevel="2" x14ac:dyDescent="0.3">
      <c r="B392" s="218"/>
      <c r="C392" s="27" t="s">
        <v>378</v>
      </c>
      <c r="D392" s="27" t="s">
        <v>1768</v>
      </c>
      <c r="E392" s="28" t="s">
        <v>2074</v>
      </c>
      <c r="F392" s="219"/>
      <c r="G392" s="210"/>
      <c r="H392" s="205"/>
      <c r="I392" s="28">
        <v>7</v>
      </c>
      <c r="J392" s="28"/>
      <c r="K392" s="28"/>
      <c r="L392" s="28"/>
      <c r="M392" s="27"/>
    </row>
    <row r="393" spans="2:13" ht="33" customHeight="1" outlineLevel="2" x14ac:dyDescent="0.3">
      <c r="B393" s="218"/>
      <c r="C393" s="27" t="s">
        <v>379</v>
      </c>
      <c r="D393" s="27" t="s">
        <v>1769</v>
      </c>
      <c r="E393" s="28" t="s">
        <v>2074</v>
      </c>
      <c r="F393" s="219"/>
      <c r="G393" s="210"/>
      <c r="H393" s="205"/>
      <c r="I393" s="28">
        <v>7</v>
      </c>
      <c r="J393" s="28"/>
      <c r="K393" s="28"/>
      <c r="L393" s="28"/>
      <c r="M393" s="27"/>
    </row>
    <row r="394" spans="2:13" ht="33" customHeight="1" outlineLevel="2" x14ac:dyDescent="0.3">
      <c r="B394" s="218"/>
      <c r="C394" s="27" t="s">
        <v>380</v>
      </c>
      <c r="D394" s="27" t="s">
        <v>1770</v>
      </c>
      <c r="E394" s="28" t="s">
        <v>2074</v>
      </c>
      <c r="F394" s="219"/>
      <c r="G394" s="210"/>
      <c r="H394" s="205"/>
      <c r="I394" s="28">
        <v>7</v>
      </c>
      <c r="J394" s="28"/>
      <c r="K394" s="28"/>
      <c r="L394" s="28"/>
      <c r="M394" s="27"/>
    </row>
    <row r="395" spans="2:13" ht="33" customHeight="1" outlineLevel="1" x14ac:dyDescent="0.3">
      <c r="B395" s="218" t="str">
        <f>'Assesment outcomes'!F42</f>
        <v>DSO process roles segregation</v>
      </c>
      <c r="C395" s="27" t="s">
        <v>381</v>
      </c>
      <c r="D395" s="27" t="s">
        <v>1771</v>
      </c>
      <c r="E395" s="28" t="s">
        <v>2074</v>
      </c>
      <c r="F395" s="92">
        <v>0</v>
      </c>
      <c r="G395" s="79">
        <f>(COUNTIF(E395:E395,$F$406))/COUNTA(E395:E395)</f>
        <v>0</v>
      </c>
      <c r="H395" s="222">
        <f>SUM(G396:G402)/3</f>
        <v>0</v>
      </c>
      <c r="I395" s="28">
        <v>0</v>
      </c>
      <c r="J395" s="28"/>
      <c r="K395" s="28"/>
      <c r="L395" s="28"/>
      <c r="M395" s="27"/>
    </row>
    <row r="396" spans="2:13" ht="33" customHeight="1" outlineLevel="2" x14ac:dyDescent="0.3">
      <c r="B396" s="218"/>
      <c r="C396" s="27" t="s">
        <v>382</v>
      </c>
      <c r="D396" s="27" t="s">
        <v>1772</v>
      </c>
      <c r="E396" s="28" t="s">
        <v>2074</v>
      </c>
      <c r="F396" s="219">
        <v>1</v>
      </c>
      <c r="G396" s="210">
        <f>(COUNTIF(E396:E397,$F$411)+(COUNTIF(E396:E397,$F$410)*0.5))/(COUNTA(E396:E397)-COUNTIF(E396:E397,$F$412))</f>
        <v>0</v>
      </c>
      <c r="H396" s="223"/>
      <c r="I396" s="28">
        <v>1</v>
      </c>
      <c r="J396" s="28"/>
      <c r="K396" s="28"/>
      <c r="L396" s="28" t="s">
        <v>721</v>
      </c>
      <c r="M396" s="27"/>
    </row>
    <row r="397" spans="2:13" ht="33" customHeight="1" outlineLevel="2" x14ac:dyDescent="0.3">
      <c r="B397" s="218"/>
      <c r="C397" s="34" t="s">
        <v>383</v>
      </c>
      <c r="D397" s="27" t="s">
        <v>1773</v>
      </c>
      <c r="E397" s="28" t="s">
        <v>2074</v>
      </c>
      <c r="F397" s="219"/>
      <c r="G397" s="210"/>
      <c r="H397" s="223"/>
      <c r="I397" s="28">
        <v>1</v>
      </c>
      <c r="J397" s="28"/>
      <c r="K397" s="28"/>
      <c r="L397" s="28"/>
      <c r="M397" s="27"/>
    </row>
    <row r="398" spans="2:13" ht="33" customHeight="1" outlineLevel="2" x14ac:dyDescent="0.3">
      <c r="B398" s="218"/>
      <c r="C398" s="34" t="s">
        <v>384</v>
      </c>
      <c r="D398" s="27" t="s">
        <v>1774</v>
      </c>
      <c r="E398" s="28" t="s">
        <v>2074</v>
      </c>
      <c r="F398" s="219">
        <v>2</v>
      </c>
      <c r="G398" s="210">
        <f>(COUNTIF(E398:E401,$F$411)+(COUNTIF(E398:E401,$F$410)*0.5))/(COUNTA(E398:E401)-COUNTIF(E398:E401,$F$412))</f>
        <v>0</v>
      </c>
      <c r="H398" s="223"/>
      <c r="I398" s="28">
        <v>3</v>
      </c>
      <c r="J398" s="28"/>
      <c r="K398" s="28"/>
      <c r="L398" s="28"/>
      <c r="M398" s="27"/>
    </row>
    <row r="399" spans="2:13" ht="33" customHeight="1" outlineLevel="2" x14ac:dyDescent="0.3">
      <c r="B399" s="218"/>
      <c r="C399" s="34" t="s">
        <v>385</v>
      </c>
      <c r="D399" s="27" t="s">
        <v>1775</v>
      </c>
      <c r="E399" s="28" t="s">
        <v>2074</v>
      </c>
      <c r="F399" s="219"/>
      <c r="G399" s="210"/>
      <c r="H399" s="223"/>
      <c r="I399" s="28">
        <v>3</v>
      </c>
      <c r="J399" s="28"/>
      <c r="K399" s="28"/>
      <c r="L399" s="28"/>
      <c r="M399" s="27"/>
    </row>
    <row r="400" spans="2:13" ht="33" customHeight="1" outlineLevel="2" x14ac:dyDescent="0.3">
      <c r="B400" s="218"/>
      <c r="C400" s="34" t="s">
        <v>386</v>
      </c>
      <c r="D400" s="27" t="s">
        <v>1776</v>
      </c>
      <c r="E400" s="28" t="s">
        <v>2074</v>
      </c>
      <c r="F400" s="219"/>
      <c r="G400" s="210"/>
      <c r="H400" s="223"/>
      <c r="I400" s="28">
        <v>3</v>
      </c>
      <c r="J400" s="28"/>
      <c r="K400" s="28"/>
      <c r="L400" s="28" t="s">
        <v>399</v>
      </c>
      <c r="M400" s="27"/>
    </row>
    <row r="401" spans="2:13" ht="33" customHeight="1" outlineLevel="2" x14ac:dyDescent="0.3">
      <c r="B401" s="218"/>
      <c r="C401" s="27" t="s">
        <v>1353</v>
      </c>
      <c r="D401" s="93" t="s">
        <v>1777</v>
      </c>
      <c r="E401" s="28" t="s">
        <v>2074</v>
      </c>
      <c r="F401" s="219"/>
      <c r="G401" s="210"/>
      <c r="H401" s="223"/>
      <c r="I401" s="28">
        <v>3</v>
      </c>
      <c r="J401" s="28"/>
      <c r="K401" s="28"/>
      <c r="L401" s="28" t="s">
        <v>397</v>
      </c>
      <c r="M401" s="27"/>
    </row>
    <row r="402" spans="2:13" ht="33" customHeight="1" outlineLevel="2" x14ac:dyDescent="0.3">
      <c r="B402" s="218"/>
      <c r="C402" s="27" t="s">
        <v>387</v>
      </c>
      <c r="D402" s="27" t="s">
        <v>1778</v>
      </c>
      <c r="E402" s="28" t="s">
        <v>2074</v>
      </c>
      <c r="F402" s="219">
        <v>3</v>
      </c>
      <c r="G402" s="210">
        <f>(COUNTIF(E402:E403,$F$411)+(COUNTIF(E402:E403,$F$410)*0.5))/(COUNTA(E402:E403)-COUNTIF(E402:E403,$F$412))</f>
        <v>0</v>
      </c>
      <c r="H402" s="224"/>
      <c r="I402" s="28">
        <v>4</v>
      </c>
      <c r="J402" s="28"/>
      <c r="K402" s="28"/>
      <c r="L402" s="28"/>
      <c r="M402" s="27"/>
    </row>
    <row r="403" spans="2:13" ht="33" customHeight="1" outlineLevel="2" x14ac:dyDescent="0.3">
      <c r="B403" s="218"/>
      <c r="C403" s="27" t="s">
        <v>749</v>
      </c>
      <c r="D403" s="27" t="s">
        <v>1779</v>
      </c>
      <c r="E403" s="28" t="s">
        <v>2074</v>
      </c>
      <c r="F403" s="219"/>
      <c r="G403" s="210"/>
      <c r="H403" s="28"/>
      <c r="I403" s="28">
        <v>4</v>
      </c>
      <c r="J403" s="28"/>
      <c r="K403" s="28"/>
      <c r="L403" s="28" t="s">
        <v>398</v>
      </c>
      <c r="M403" s="27"/>
    </row>
    <row r="404" spans="2:13" outlineLevel="2" x14ac:dyDescent="0.3">
      <c r="B404" s="26"/>
      <c r="C404" s="26"/>
      <c r="E404" s="26"/>
      <c r="F404" s="26"/>
      <c r="G404" s="26"/>
      <c r="H404" s="26"/>
      <c r="I404" s="26"/>
      <c r="J404" s="26"/>
      <c r="K404" s="26"/>
      <c r="L404" s="26"/>
      <c r="M404" s="26"/>
    </row>
    <row r="405" spans="2:13" ht="69.75" customHeight="1" x14ac:dyDescent="0.3">
      <c r="C405" s="42"/>
      <c r="J405" s="25"/>
      <c r="K405" s="25"/>
      <c r="L405" s="25"/>
    </row>
    <row r="406" spans="2:13" hidden="1" x14ac:dyDescent="0.3">
      <c r="C406" s="42"/>
      <c r="E406" s="88"/>
      <c r="F406" s="33" t="s">
        <v>2027</v>
      </c>
      <c r="H406" s="45"/>
      <c r="I406" s="45"/>
      <c r="J406" s="25"/>
      <c r="K406" s="25"/>
      <c r="L406" s="25"/>
    </row>
    <row r="407" spans="2:13" hidden="1" x14ac:dyDescent="0.3">
      <c r="C407" s="42"/>
      <c r="E407" s="89"/>
      <c r="F407" s="39" t="s">
        <v>2028</v>
      </c>
      <c r="H407" s="45"/>
      <c r="I407" s="45"/>
      <c r="J407" s="25"/>
      <c r="K407" s="25"/>
      <c r="L407" s="25"/>
    </row>
    <row r="408" spans="2:13" hidden="1" x14ac:dyDescent="0.3">
      <c r="C408" s="42"/>
      <c r="E408" s="89"/>
      <c r="F408" s="151" t="s">
        <v>2074</v>
      </c>
      <c r="H408" s="45"/>
      <c r="I408" s="45"/>
      <c r="J408" s="25"/>
      <c r="K408" s="25"/>
      <c r="L408" s="25"/>
    </row>
    <row r="409" spans="2:13" ht="33" hidden="1" x14ac:dyDescent="0.3">
      <c r="C409" s="42"/>
      <c r="E409" s="90"/>
      <c r="F409" s="39" t="s">
        <v>1780</v>
      </c>
      <c r="H409" s="45"/>
      <c r="I409" s="45"/>
      <c r="J409" s="25"/>
      <c r="K409" s="25"/>
      <c r="L409" s="25"/>
    </row>
    <row r="410" spans="2:13" ht="33" hidden="1" x14ac:dyDescent="0.3">
      <c r="C410" s="42"/>
      <c r="E410" s="90"/>
      <c r="F410" s="39" t="s">
        <v>1781</v>
      </c>
      <c r="H410" s="45"/>
      <c r="I410" s="45"/>
      <c r="J410" s="25"/>
      <c r="K410" s="25"/>
      <c r="L410" s="25"/>
    </row>
    <row r="411" spans="2:13" ht="33" hidden="1" x14ac:dyDescent="0.3">
      <c r="C411" s="42"/>
      <c r="E411" s="90"/>
      <c r="F411" s="39" t="s">
        <v>1782</v>
      </c>
      <c r="H411" s="46"/>
      <c r="I411" s="47"/>
      <c r="J411" s="25"/>
      <c r="K411" s="25"/>
      <c r="L411" s="25"/>
    </row>
    <row r="412" spans="2:13" ht="33" hidden="1" x14ac:dyDescent="0.3">
      <c r="C412" s="26"/>
      <c r="E412" s="88"/>
      <c r="F412" s="39" t="s">
        <v>1783</v>
      </c>
      <c r="J412" s="25"/>
      <c r="K412" s="25"/>
      <c r="L412" s="25"/>
    </row>
    <row r="413" spans="2:13" ht="59.25" customHeight="1" x14ac:dyDescent="0.3">
      <c r="C413" s="26"/>
      <c r="F413" s="26"/>
      <c r="J413" s="25"/>
      <c r="K413" s="25"/>
      <c r="L413" s="25"/>
    </row>
    <row r="414" spans="2:13" ht="67.5" customHeight="1" x14ac:dyDescent="0.3">
      <c r="C414" s="26"/>
      <c r="J414" s="25"/>
      <c r="K414" s="25"/>
      <c r="L414" s="25"/>
    </row>
    <row r="487" ht="15" customHeight="1" x14ac:dyDescent="0.3"/>
    <row r="500" ht="61.5" customHeight="1" x14ac:dyDescent="0.3"/>
    <row r="527" ht="66.75" customHeight="1" x14ac:dyDescent="0.3"/>
  </sheetData>
  <autoFilter ref="B2:M2" xr:uid="{00000000-0009-0000-0000-000002000000}"/>
  <mergeCells count="286">
    <mergeCell ref="E1:M1"/>
    <mergeCell ref="F398:F401"/>
    <mergeCell ref="B395:B403"/>
    <mergeCell ref="H281:H283"/>
    <mergeCell ref="H37:H44"/>
    <mergeCell ref="H45:H54"/>
    <mergeCell ref="H76:H94"/>
    <mergeCell ref="H95:H104"/>
    <mergeCell ref="G204:G207"/>
    <mergeCell ref="G208:G209"/>
    <mergeCell ref="G199:G200"/>
    <mergeCell ref="G360:G361"/>
    <mergeCell ref="G370:G371"/>
    <mergeCell ref="H333:H339"/>
    <mergeCell ref="H286:H295"/>
    <mergeCell ref="H307:H317"/>
    <mergeCell ref="B369:B373"/>
    <mergeCell ref="H351:H358"/>
    <mergeCell ref="H359:H366"/>
    <mergeCell ref="F303:F304"/>
    <mergeCell ref="F300:F302"/>
    <mergeCell ref="G343:G344"/>
    <mergeCell ref="G353:G354"/>
    <mergeCell ref="F337:F338"/>
    <mergeCell ref="B265:B268"/>
    <mergeCell ref="B281:B283"/>
    <mergeCell ref="B210:B212"/>
    <mergeCell ref="B226:B233"/>
    <mergeCell ref="F235:F237"/>
    <mergeCell ref="F238:F241"/>
    <mergeCell ref="F242:F245"/>
    <mergeCell ref="F246:F248"/>
    <mergeCell ref="F232:F233"/>
    <mergeCell ref="B259:B264"/>
    <mergeCell ref="B269:B280"/>
    <mergeCell ref="F275:F278"/>
    <mergeCell ref="G275:G278"/>
    <mergeCell ref="G279:G280"/>
    <mergeCell ref="G372:G373"/>
    <mergeCell ref="G375:G376"/>
    <mergeCell ref="G220:G222"/>
    <mergeCell ref="H369:H373"/>
    <mergeCell ref="F402:F403"/>
    <mergeCell ref="F353:F354"/>
    <mergeCell ref="G300:G302"/>
    <mergeCell ref="G303:G304"/>
    <mergeCell ref="F314:F316"/>
    <mergeCell ref="F319:F320"/>
    <mergeCell ref="F341:F342"/>
    <mergeCell ref="F343:F344"/>
    <mergeCell ref="F345:F347"/>
    <mergeCell ref="F287:F288"/>
    <mergeCell ref="F289:F292"/>
    <mergeCell ref="F293:F294"/>
    <mergeCell ref="F298:F299"/>
    <mergeCell ref="F334:F335"/>
    <mergeCell ref="G287:G288"/>
    <mergeCell ref="G289:G292"/>
    <mergeCell ref="G402:G403"/>
    <mergeCell ref="G363:G365"/>
    <mergeCell ref="B333:B339"/>
    <mergeCell ref="B340:B348"/>
    <mergeCell ref="B286:B295"/>
    <mergeCell ref="B328:B332"/>
    <mergeCell ref="B307:B317"/>
    <mergeCell ref="B296:B304"/>
    <mergeCell ref="H383:H394"/>
    <mergeCell ref="H395:H402"/>
    <mergeCell ref="F321:F323"/>
    <mergeCell ref="F324:F326"/>
    <mergeCell ref="G385:G386"/>
    <mergeCell ref="G396:G397"/>
    <mergeCell ref="G345:G347"/>
    <mergeCell ref="G355:G357"/>
    <mergeCell ref="G293:G294"/>
    <mergeCell ref="G308:G310"/>
    <mergeCell ref="G311:G313"/>
    <mergeCell ref="G314:G316"/>
    <mergeCell ref="G321:G323"/>
    <mergeCell ref="G377:G379"/>
    <mergeCell ref="G298:G299"/>
    <mergeCell ref="G319:G320"/>
    <mergeCell ref="G334:G335"/>
    <mergeCell ref="G341:G342"/>
    <mergeCell ref="B4:B16"/>
    <mergeCell ref="B33:B36"/>
    <mergeCell ref="B37:B44"/>
    <mergeCell ref="B45:B54"/>
    <mergeCell ref="G56:G62"/>
    <mergeCell ref="F18:F22"/>
    <mergeCell ref="F23:F24"/>
    <mergeCell ref="F34:F35"/>
    <mergeCell ref="G10:G11"/>
    <mergeCell ref="G12:G14"/>
    <mergeCell ref="G42:G43"/>
    <mergeCell ref="G40:G41"/>
    <mergeCell ref="F10:F11"/>
    <mergeCell ref="F12:F14"/>
    <mergeCell ref="F38:F39"/>
    <mergeCell ref="G18:G22"/>
    <mergeCell ref="G23:G24"/>
    <mergeCell ref="G34:G35"/>
    <mergeCell ref="G46:G49"/>
    <mergeCell ref="G51:G53"/>
    <mergeCell ref="F40:F41"/>
    <mergeCell ref="B374:B380"/>
    <mergeCell ref="B17:B30"/>
    <mergeCell ref="G255:G256"/>
    <mergeCell ref="G235:G237"/>
    <mergeCell ref="G238:G241"/>
    <mergeCell ref="G242:G245"/>
    <mergeCell ref="B120:B130"/>
    <mergeCell ref="B187:B192"/>
    <mergeCell ref="B193:B197"/>
    <mergeCell ref="B198:B209"/>
    <mergeCell ref="B234:B248"/>
    <mergeCell ref="B167:B170"/>
    <mergeCell ref="F168:F169"/>
    <mergeCell ref="F63:F68"/>
    <mergeCell ref="F69:F72"/>
    <mergeCell ref="B76:B94"/>
    <mergeCell ref="G82:G87"/>
    <mergeCell ref="F227:F229"/>
    <mergeCell ref="F199:F200"/>
    <mergeCell ref="F121:F122"/>
    <mergeCell ref="F132:F134"/>
    <mergeCell ref="B95:B104"/>
    <mergeCell ref="G227:G229"/>
    <mergeCell ref="F156:F159"/>
    <mergeCell ref="F160:F162"/>
    <mergeCell ref="B249:B258"/>
    <mergeCell ref="B145:B154"/>
    <mergeCell ref="B131:B144"/>
    <mergeCell ref="G398:G401"/>
    <mergeCell ref="B318:B327"/>
    <mergeCell ref="F272:F274"/>
    <mergeCell ref="F270:F271"/>
    <mergeCell ref="G270:G271"/>
    <mergeCell ref="G272:G274"/>
    <mergeCell ref="B368:M368"/>
    <mergeCell ref="B382:M382"/>
    <mergeCell ref="G387:G390"/>
    <mergeCell ref="G391:G394"/>
    <mergeCell ref="F385:F386"/>
    <mergeCell ref="F387:F390"/>
    <mergeCell ref="F391:F394"/>
    <mergeCell ref="F396:F397"/>
    <mergeCell ref="F370:F371"/>
    <mergeCell ref="F372:F373"/>
    <mergeCell ref="F375:F376"/>
    <mergeCell ref="F377:F379"/>
    <mergeCell ref="B383:B394"/>
    <mergeCell ref="B351:B358"/>
    <mergeCell ref="G337:G338"/>
    <mergeCell ref="B359:B366"/>
    <mergeCell ref="G324:G326"/>
    <mergeCell ref="H318:H327"/>
    <mergeCell ref="H215:H225"/>
    <mergeCell ref="B107:B119"/>
    <mergeCell ref="F108:F109"/>
    <mergeCell ref="F110:F113"/>
    <mergeCell ref="F114:F118"/>
    <mergeCell ref="G114:G118"/>
    <mergeCell ref="G110:G113"/>
    <mergeCell ref="G108:G109"/>
    <mergeCell ref="H198:H209"/>
    <mergeCell ref="H155:H166"/>
    <mergeCell ref="H167:H170"/>
    <mergeCell ref="H173:H186"/>
    <mergeCell ref="H187:H192"/>
    <mergeCell ref="H193:H197"/>
    <mergeCell ref="H210:H212"/>
    <mergeCell ref="G218:G219"/>
    <mergeCell ref="G184:G186"/>
    <mergeCell ref="G168:G169"/>
    <mergeCell ref="G174:G175"/>
    <mergeCell ref="F195:F196"/>
    <mergeCell ref="G250:G254"/>
    <mergeCell ref="G149:G151"/>
    <mergeCell ref="H296:H304"/>
    <mergeCell ref="F279:F280"/>
    <mergeCell ref="B55:B75"/>
    <mergeCell ref="F73:F75"/>
    <mergeCell ref="G73:G75"/>
    <mergeCell ref="H55:H75"/>
    <mergeCell ref="G140:G143"/>
    <mergeCell ref="F216:F217"/>
    <mergeCell ref="B173:B186"/>
    <mergeCell ref="F174:F175"/>
    <mergeCell ref="F176:F179"/>
    <mergeCell ref="G156:G159"/>
    <mergeCell ref="G160:G162"/>
    <mergeCell ref="G201:G203"/>
    <mergeCell ref="B215:B225"/>
    <mergeCell ref="F223:F225"/>
    <mergeCell ref="G223:G225"/>
    <mergeCell ref="B155:B166"/>
    <mergeCell ref="F180:F183"/>
    <mergeCell ref="G180:G183"/>
    <mergeCell ref="G216:G217"/>
    <mergeCell ref="F184:F186"/>
    <mergeCell ref="H4:H16"/>
    <mergeCell ref="H33:H36"/>
    <mergeCell ref="F5:F9"/>
    <mergeCell ref="G5:G9"/>
    <mergeCell ref="F77:F81"/>
    <mergeCell ref="F56:F62"/>
    <mergeCell ref="H226:H233"/>
    <mergeCell ref="H259:H264"/>
    <mergeCell ref="H265:H268"/>
    <mergeCell ref="H234:H248"/>
    <mergeCell ref="G246:G248"/>
    <mergeCell ref="H249:H258"/>
    <mergeCell ref="F101:F102"/>
    <mergeCell ref="G232:G233"/>
    <mergeCell ref="F250:F254"/>
    <mergeCell ref="F255:F256"/>
    <mergeCell ref="F262:F263"/>
    <mergeCell ref="F260:F261"/>
    <mergeCell ref="H107:H119"/>
    <mergeCell ref="G195:G196"/>
    <mergeCell ref="F218:F219"/>
    <mergeCell ref="F201:F203"/>
    <mergeCell ref="F204:F207"/>
    <mergeCell ref="F208:F209"/>
    <mergeCell ref="G127:G129"/>
    <mergeCell ref="G77:G81"/>
    <mergeCell ref="G88:G93"/>
    <mergeCell ref="F88:F93"/>
    <mergeCell ref="F135:F139"/>
    <mergeCell ref="H17:H30"/>
    <mergeCell ref="F25:F26"/>
    <mergeCell ref="G25:G26"/>
    <mergeCell ref="G27:G30"/>
    <mergeCell ref="H120:H130"/>
    <mergeCell ref="H131:H144"/>
    <mergeCell ref="G63:G68"/>
    <mergeCell ref="G69:G72"/>
    <mergeCell ref="B3:M3"/>
    <mergeCell ref="B172:M172"/>
    <mergeCell ref="B106:M106"/>
    <mergeCell ref="B32:M32"/>
    <mergeCell ref="B214:M214"/>
    <mergeCell ref="G176:G179"/>
    <mergeCell ref="G188:G190"/>
    <mergeCell ref="F188:F190"/>
    <mergeCell ref="F163:F165"/>
    <mergeCell ref="G163:G165"/>
    <mergeCell ref="G96:G100"/>
    <mergeCell ref="F96:F100"/>
    <mergeCell ref="F42:F43"/>
    <mergeCell ref="F46:F49"/>
    <mergeCell ref="F153:F154"/>
    <mergeCell ref="G153:G154"/>
    <mergeCell ref="F15:F16"/>
    <mergeCell ref="G15:G16"/>
    <mergeCell ref="G132:G134"/>
    <mergeCell ref="G135:G139"/>
    <mergeCell ref="G38:G39"/>
    <mergeCell ref="G121:G122"/>
    <mergeCell ref="G123:G126"/>
    <mergeCell ref="F123:F126"/>
    <mergeCell ref="H269:H280"/>
    <mergeCell ref="F82:F87"/>
    <mergeCell ref="F51:F53"/>
    <mergeCell ref="B285:M285"/>
    <mergeCell ref="B306:M306"/>
    <mergeCell ref="B350:M350"/>
    <mergeCell ref="H374:H380"/>
    <mergeCell ref="H328:H332"/>
    <mergeCell ref="H340:H348"/>
    <mergeCell ref="F355:F357"/>
    <mergeCell ref="F360:F361"/>
    <mergeCell ref="F363:F365"/>
    <mergeCell ref="F308:F310"/>
    <mergeCell ref="F311:F313"/>
    <mergeCell ref="F140:F143"/>
    <mergeCell ref="F146:F148"/>
    <mergeCell ref="F149:F151"/>
    <mergeCell ref="G146:G148"/>
    <mergeCell ref="G262:G263"/>
    <mergeCell ref="G260:G261"/>
    <mergeCell ref="F127:F129"/>
    <mergeCell ref="G101:G102"/>
    <mergeCell ref="F220:F222"/>
    <mergeCell ref="H145:H154"/>
  </mergeCells>
  <conditionalFormatting sqref="E4:E30 E33:E104 E107:E170 E173:E212 E215:E283 E286:E304 E307:E348 E351:E366 E369:E380 E383:E403">
    <cfRule type="containsText" dxfId="294" priority="1" operator="containsText" text="Not applicable">
      <formula>NOT(ISERROR(SEARCH("Not applicable",E4)))</formula>
    </cfRule>
    <cfRule type="containsText" dxfId="293" priority="2" operator="containsText" text="TRUE">
      <formula>NOT(ISERROR(SEARCH("TRUE",E4)))</formula>
    </cfRule>
    <cfRule type="containsText" dxfId="292" priority="3" operator="containsText" text="FALSE">
      <formula>NOT(ISERROR(SEARCH("FALSE",E4)))</formula>
    </cfRule>
    <cfRule type="cellIs" dxfId="291" priority="4" operator="equal">
      <formula>"Fully Implemented"</formula>
    </cfRule>
    <cfRule type="cellIs" dxfId="290" priority="5" operator="equal">
      <formula>"Partly implemented"</formula>
    </cfRule>
    <cfRule type="cellIs" dxfId="289" priority="6" operator="equal">
      <formula>"Not implemented"</formula>
    </cfRule>
    <cfRule type="cellIs" priority="7" operator="equal">
      <formula>"Not applicable"</formula>
    </cfRule>
  </conditionalFormatting>
  <dataValidations count="3">
    <dataValidation type="list" allowBlank="1" showInputMessage="1" showErrorMessage="1" sqref="E213 E284 E305 E349 E105 E367 E171 E381 E31" xr:uid="{00000000-0002-0000-0200-000000000000}">
      <formula1>$F$409:$F$412</formula1>
    </dataValidation>
    <dataValidation type="list" allowBlank="1" showInputMessage="1" showErrorMessage="1" sqref="E396:E403 E384:E394 E375:E380 E370:E373 E360:E366 E352:E358 E341:E348 E334:E339 E329:E332 E319:E327 E308:E317 E297:E304 E287:E295 E282:E283 E270:E280 E266:E268 E260:E264 E250:E258 E235:E248 E227:E233 E216:E225 E211:E212 E199:E209 E194:E197 E188:E192 E174:E186 E168:E170 E156:E166 E146:E154 E132:E144 E121:E130 E108:E119 E96:E104 E77:E94 E56:E75 E46:E54 E38:E44 E34:E36 E18:E30 E5:E16" xr:uid="{00000000-0002-0000-0200-000001000000}">
      <formula1>$F$408:$F$412</formula1>
    </dataValidation>
    <dataValidation type="list" allowBlank="1" showInputMessage="1" showErrorMessage="1" sqref="E383 E374 E369 E359 E351 E340 E333 E328 E318 E307 E296 E286 E281 E269 E265 E259 E249 E234 E226 E215 E210 E198 E193 E187 E173 E167 E155 E145 E131 E120 E107 E95 E76 E55 E45 E37 E33 E17 E4 E395" xr:uid="{00000000-0002-0000-0200-000002000000}">
      <formula1>$F$406:$F$408</formula1>
    </dataValidation>
  </dataValidations>
  <hyperlinks>
    <hyperlink ref="E1:H1" r:id="rId1" display="Guidance on completing the form are available in the GitHub repository" xr:uid="{00000000-0004-0000-0200-000000000000}"/>
    <hyperlink ref="E1:M1" r:id="rId2" display="The guidance on completing the form are available in our GitHub repository" xr:uid="{00000000-0004-0000-0200-000001000000}"/>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9">
    <tabColor rgb="FF92D050"/>
  </sheetPr>
  <dimension ref="A1:N381"/>
  <sheetViews>
    <sheetView zoomScale="70" zoomScaleNormal="70" workbookViewId="0">
      <pane xSplit="2" ySplit="2" topLeftCell="C3" activePane="bottomRight" state="frozen"/>
      <selection pane="topRight" activeCell="B1" sqref="B1"/>
      <selection pane="bottomLeft" activeCell="A3" sqref="A3"/>
      <selection pane="bottomRight" activeCell="D78" sqref="D78"/>
    </sheetView>
  </sheetViews>
  <sheetFormatPr defaultColWidth="8.42578125" defaultRowHeight="16.5" x14ac:dyDescent="0.3"/>
  <cols>
    <col min="1" max="1" width="2" style="26" customWidth="1"/>
    <col min="2" max="2" width="24" style="53" customWidth="1"/>
    <col min="3" max="3" width="23" style="54" customWidth="1"/>
    <col min="4" max="4" width="23" style="53" customWidth="1"/>
    <col min="5" max="10" width="23" style="51" customWidth="1"/>
    <col min="11" max="11" width="19" style="51" customWidth="1"/>
    <col min="12" max="15" width="16" style="51" customWidth="1"/>
    <col min="16" max="39" width="11" style="51" customWidth="1"/>
    <col min="40" max="76" width="5" style="51" customWidth="1"/>
    <col min="77" max="77" width="8.42578125" style="51" customWidth="1"/>
    <col min="78" max="16384" width="8.42578125" style="51"/>
  </cols>
  <sheetData>
    <row r="1" spans="1:10" ht="52.15" customHeight="1" thickBot="1" x14ac:dyDescent="0.3">
      <c r="A1" s="7"/>
      <c r="C1" s="78"/>
    </row>
    <row r="2" spans="1:10" ht="17.25" thickBot="1" x14ac:dyDescent="0.35">
      <c r="A2" s="25"/>
      <c r="B2" s="226" t="s">
        <v>2071</v>
      </c>
      <c r="C2" s="227"/>
      <c r="D2" s="227"/>
      <c r="E2" s="227"/>
      <c r="F2" s="227"/>
      <c r="G2" s="227"/>
      <c r="H2" s="227"/>
      <c r="I2" s="227"/>
      <c r="J2" s="228"/>
    </row>
    <row r="3" spans="1:10" x14ac:dyDescent="0.3">
      <c r="B3" s="162" t="s">
        <v>2075</v>
      </c>
      <c r="C3" s="137" t="s">
        <v>1409</v>
      </c>
      <c r="D3" s="138" t="s">
        <v>1442</v>
      </c>
      <c r="E3" s="139" t="s">
        <v>1411</v>
      </c>
      <c r="F3" s="140" t="s">
        <v>1412</v>
      </c>
      <c r="G3" s="141" t="s">
        <v>1413</v>
      </c>
      <c r="H3" s="142" t="s">
        <v>1414</v>
      </c>
      <c r="I3" s="143" t="s">
        <v>1415</v>
      </c>
      <c r="J3" s="144" t="s">
        <v>1416</v>
      </c>
    </row>
    <row r="4" spans="1:10" x14ac:dyDescent="0.3">
      <c r="B4" s="145" t="str">
        <f>'Assesment outcomes'!G3</f>
        <v>T-ADI-DEP</v>
      </c>
      <c r="C4" s="146" t="s">
        <v>585</v>
      </c>
      <c r="D4" s="146"/>
      <c r="E4" s="146" t="s">
        <v>540</v>
      </c>
      <c r="F4" s="146" t="s">
        <v>512</v>
      </c>
      <c r="G4" s="146" t="s">
        <v>492</v>
      </c>
      <c r="H4" s="146"/>
      <c r="I4" s="146" t="s">
        <v>622</v>
      </c>
      <c r="J4" s="146"/>
    </row>
    <row r="5" spans="1:10" x14ac:dyDescent="0.3">
      <c r="B5" s="145" t="str">
        <f>'Assesment outcomes'!G4</f>
        <v>T-ADI-ART</v>
      </c>
      <c r="C5" s="146" t="s">
        <v>586</v>
      </c>
      <c r="D5" s="146" t="s">
        <v>564</v>
      </c>
      <c r="E5" s="146"/>
      <c r="F5" s="146" t="s">
        <v>513</v>
      </c>
      <c r="G5" s="146" t="s">
        <v>493</v>
      </c>
      <c r="H5" s="146" t="s">
        <v>623</v>
      </c>
      <c r="I5" s="146"/>
      <c r="J5" s="146"/>
    </row>
    <row r="6" spans="1:10" x14ac:dyDescent="0.3">
      <c r="B6" s="145" t="str">
        <f>'Assesment outcomes'!G5</f>
        <v>T-DEV-COMP</v>
      </c>
      <c r="C6" s="146" t="s">
        <v>587</v>
      </c>
      <c r="D6" s="146" t="s">
        <v>565</v>
      </c>
      <c r="E6" s="146"/>
      <c r="F6" s="146" t="s">
        <v>541</v>
      </c>
      <c r="G6" s="146"/>
      <c r="H6" s="146"/>
      <c r="I6" s="146"/>
      <c r="J6" s="146"/>
    </row>
    <row r="7" spans="1:10" x14ac:dyDescent="0.3">
      <c r="B7" s="145" t="str">
        <f>'Assesment outcomes'!G6</f>
        <v>T-DEV-SM</v>
      </c>
      <c r="C7" s="146" t="s">
        <v>588</v>
      </c>
      <c r="D7" s="146" t="s">
        <v>566</v>
      </c>
      <c r="E7" s="146" t="s">
        <v>542</v>
      </c>
      <c r="F7" s="146" t="s">
        <v>514</v>
      </c>
      <c r="G7" s="146"/>
      <c r="H7" s="146"/>
      <c r="I7" s="146" t="s">
        <v>471</v>
      </c>
      <c r="J7" s="146"/>
    </row>
    <row r="8" spans="1:10" x14ac:dyDescent="0.3">
      <c r="B8" s="145" t="str">
        <f>'Assesment outcomes'!G7</f>
        <v>T-DEV-BLD</v>
      </c>
      <c r="C8" s="146" t="s">
        <v>589</v>
      </c>
      <c r="D8" s="146"/>
      <c r="E8" s="146" t="s">
        <v>543</v>
      </c>
      <c r="F8" s="146" t="s">
        <v>515</v>
      </c>
      <c r="G8" s="146"/>
      <c r="H8" s="146" t="s">
        <v>481</v>
      </c>
      <c r="I8" s="146" t="s">
        <v>624</v>
      </c>
      <c r="J8" s="146"/>
    </row>
    <row r="9" spans="1:10" x14ac:dyDescent="0.3">
      <c r="B9" s="145" t="str">
        <f>'Assesment outcomes'!G8</f>
        <v>T-DEV-SCM</v>
      </c>
      <c r="C9" s="146" t="s">
        <v>590</v>
      </c>
      <c r="D9" s="146"/>
      <c r="E9" s="146" t="s">
        <v>544</v>
      </c>
      <c r="F9" s="146" t="s">
        <v>516</v>
      </c>
      <c r="G9" s="146" t="s">
        <v>494</v>
      </c>
      <c r="H9" s="146"/>
      <c r="I9" s="146" t="s">
        <v>472</v>
      </c>
      <c r="J9" s="146"/>
    </row>
    <row r="10" spans="1:10" x14ac:dyDescent="0.3">
      <c r="B10" s="145" t="str">
        <f>'Assesment outcomes'!G9</f>
        <v>T-DEV-SRC</v>
      </c>
      <c r="C10" s="146" t="s">
        <v>591</v>
      </c>
      <c r="D10" s="146" t="s">
        <v>567</v>
      </c>
      <c r="E10" s="146"/>
      <c r="F10" s="146" t="s">
        <v>517</v>
      </c>
      <c r="G10" s="146" t="s">
        <v>495</v>
      </c>
      <c r="H10" s="146"/>
      <c r="I10" s="146" t="s">
        <v>473</v>
      </c>
      <c r="J10" s="146"/>
    </row>
    <row r="11" spans="1:10" x14ac:dyDescent="0.3">
      <c r="B11" s="145" t="str">
        <f>'Assesment outcomes'!G10</f>
        <v>T-DEV-CICD</v>
      </c>
      <c r="C11" s="146" t="s">
        <v>592</v>
      </c>
      <c r="D11" s="146" t="s">
        <v>568</v>
      </c>
      <c r="E11" s="146"/>
      <c r="F11" s="146" t="s">
        <v>518</v>
      </c>
      <c r="G11" s="146" t="s">
        <v>496</v>
      </c>
      <c r="H11" s="146" t="s">
        <v>482</v>
      </c>
      <c r="I11" s="146"/>
      <c r="J11" s="146"/>
    </row>
    <row r="12" spans="1:10" x14ac:dyDescent="0.3">
      <c r="B12" s="145" t="str">
        <f>'Assesment outcomes'!G11</f>
        <v>T-CODE-SPC</v>
      </c>
      <c r="C12" s="146" t="s">
        <v>736</v>
      </c>
      <c r="D12" s="146"/>
      <c r="E12" s="146" t="s">
        <v>735</v>
      </c>
      <c r="F12" s="146"/>
      <c r="G12" s="146" t="s">
        <v>737</v>
      </c>
      <c r="H12" s="146" t="s">
        <v>738</v>
      </c>
      <c r="I12" s="146"/>
      <c r="J12" s="146" t="s">
        <v>739</v>
      </c>
    </row>
    <row r="13" spans="1:10" x14ac:dyDescent="0.3">
      <c r="B13" s="145" t="str">
        <f>'Assesment outcomes'!G12</f>
        <v>T-CODE-SST</v>
      </c>
      <c r="C13" s="146" t="s">
        <v>593</v>
      </c>
      <c r="D13" s="146"/>
      <c r="E13" s="146" t="s">
        <v>545</v>
      </c>
      <c r="F13" s="146" t="s">
        <v>519</v>
      </c>
      <c r="G13" s="146" t="s">
        <v>497</v>
      </c>
      <c r="H13" s="146"/>
      <c r="I13" s="146"/>
      <c r="J13" s="146" t="s">
        <v>465</v>
      </c>
    </row>
    <row r="14" spans="1:10" x14ac:dyDescent="0.3">
      <c r="B14" s="145" t="str">
        <f>'Assesment outcomes'!G13</f>
        <v>T-CODE-SC</v>
      </c>
      <c r="C14" s="146" t="s">
        <v>594</v>
      </c>
      <c r="D14" s="146" t="s">
        <v>569</v>
      </c>
      <c r="E14" s="146" t="s">
        <v>546</v>
      </c>
      <c r="F14" s="146"/>
      <c r="G14" s="146" t="s">
        <v>498</v>
      </c>
      <c r="H14" s="146"/>
      <c r="I14" s="146" t="s">
        <v>474</v>
      </c>
      <c r="J14" s="146"/>
    </row>
    <row r="15" spans="1:10" x14ac:dyDescent="0.3">
      <c r="B15" s="145" t="str">
        <f>'Assesment outcomes'!G14</f>
        <v>T-CODE-IMG</v>
      </c>
      <c r="C15" s="146" t="s">
        <v>595</v>
      </c>
      <c r="D15" s="146" t="s">
        <v>570</v>
      </c>
      <c r="E15" s="146" t="s">
        <v>547</v>
      </c>
      <c r="F15" s="146" t="s">
        <v>520</v>
      </c>
      <c r="G15" s="146" t="s">
        <v>499</v>
      </c>
      <c r="H15" s="146"/>
      <c r="I15" s="146"/>
      <c r="J15" s="146"/>
    </row>
    <row r="16" spans="1:10" x14ac:dyDescent="0.3">
      <c r="B16" s="145" t="str">
        <f>'Assesment outcomes'!G15</f>
        <v>T-CODE-SECDN</v>
      </c>
      <c r="C16" s="146" t="s">
        <v>596</v>
      </c>
      <c r="D16" s="146" t="s">
        <v>571</v>
      </c>
      <c r="E16" s="146" t="s">
        <v>548</v>
      </c>
      <c r="F16" s="146" t="s">
        <v>521</v>
      </c>
      <c r="G16" s="146"/>
      <c r="H16" s="146" t="s">
        <v>483</v>
      </c>
      <c r="I16" s="146"/>
      <c r="J16" s="146"/>
    </row>
    <row r="17" spans="1:10" x14ac:dyDescent="0.3">
      <c r="B17" s="145" t="str">
        <f>'Assesment outcomes'!G16</f>
        <v>T-CODE-DOCKERFS</v>
      </c>
      <c r="C17" s="146" t="s">
        <v>597</v>
      </c>
      <c r="D17" s="146" t="s">
        <v>572</v>
      </c>
      <c r="E17" s="146" t="s">
        <v>549</v>
      </c>
      <c r="F17" s="146"/>
      <c r="G17" s="146"/>
      <c r="H17" s="146"/>
      <c r="I17" s="146"/>
      <c r="J17" s="146"/>
    </row>
    <row r="18" spans="1:10" x14ac:dyDescent="0.3">
      <c r="B18" s="145" t="str">
        <f>'Assesment outcomes'!G17</f>
        <v>T-PREPROD-DAST</v>
      </c>
      <c r="C18" s="146" t="s">
        <v>598</v>
      </c>
      <c r="D18" s="146"/>
      <c r="E18" s="146"/>
      <c r="F18" s="146" t="s">
        <v>522</v>
      </c>
      <c r="G18" s="146" t="s">
        <v>500</v>
      </c>
      <c r="H18" s="146" t="s">
        <v>475</v>
      </c>
      <c r="I18" s="146" t="s">
        <v>466</v>
      </c>
      <c r="J18" s="36"/>
    </row>
    <row r="19" spans="1:10" ht="33" x14ac:dyDescent="0.3">
      <c r="B19" s="145" t="str">
        <f>'Assesment outcomes'!G18</f>
        <v>T-PREPROD-PENTEST</v>
      </c>
      <c r="C19" s="146" t="s">
        <v>599</v>
      </c>
      <c r="D19" s="146" t="s">
        <v>573</v>
      </c>
      <c r="E19" s="146" t="s">
        <v>550</v>
      </c>
      <c r="F19" s="146"/>
      <c r="G19" s="146"/>
      <c r="H19" s="2"/>
      <c r="I19" s="146" t="s">
        <v>625</v>
      </c>
      <c r="J19" s="146"/>
    </row>
    <row r="20" spans="1:10" x14ac:dyDescent="0.3">
      <c r="B20" s="145" t="str">
        <f>'Assesment outcomes'!G21</f>
        <v>T-PREPROD-VULN</v>
      </c>
      <c r="C20" s="146" t="s">
        <v>626</v>
      </c>
      <c r="D20" s="146"/>
      <c r="E20" s="146" t="s">
        <v>627</v>
      </c>
      <c r="F20" s="2"/>
      <c r="G20" s="146" t="s">
        <v>628</v>
      </c>
      <c r="H20" s="146" t="s">
        <v>629</v>
      </c>
      <c r="I20" s="146"/>
      <c r="J20" s="146" t="s">
        <v>630</v>
      </c>
    </row>
    <row r="21" spans="1:10" ht="33" x14ac:dyDescent="0.3">
      <c r="B21" s="145" t="str">
        <f>'Assesment outcomes'!G19</f>
        <v>T-PREPROD-SECTEST</v>
      </c>
      <c r="C21" s="146" t="s">
        <v>600</v>
      </c>
      <c r="D21" s="146" t="s">
        <v>574</v>
      </c>
      <c r="E21" s="146" t="s">
        <v>551</v>
      </c>
      <c r="F21" s="146"/>
      <c r="G21" s="146"/>
      <c r="H21" s="146"/>
      <c r="I21" s="146" t="s">
        <v>476</v>
      </c>
      <c r="J21" s="146"/>
    </row>
    <row r="22" spans="1:10" ht="33" x14ac:dyDescent="0.3">
      <c r="B22" s="145" t="str">
        <f>'Assesment outcomes'!G20</f>
        <v>T-PREPROD-MANSEC</v>
      </c>
      <c r="C22" s="146" t="s">
        <v>601</v>
      </c>
      <c r="D22" s="146"/>
      <c r="E22" s="146" t="s">
        <v>552</v>
      </c>
      <c r="F22" s="146" t="s">
        <v>523</v>
      </c>
      <c r="G22" s="146"/>
      <c r="H22" s="146"/>
      <c r="I22" s="146"/>
      <c r="J22" s="146"/>
    </row>
    <row r="23" spans="1:10" x14ac:dyDescent="0.3">
      <c r="B23" s="145" t="str">
        <f>'Assesment outcomes'!G22</f>
        <v>T-PROD-SM</v>
      </c>
      <c r="C23" s="146" t="s">
        <v>602</v>
      </c>
      <c r="D23" s="146" t="s">
        <v>575</v>
      </c>
      <c r="E23" s="146" t="s">
        <v>553</v>
      </c>
      <c r="F23" s="146" t="s">
        <v>524</v>
      </c>
      <c r="G23" s="146"/>
      <c r="H23" s="146" t="s">
        <v>484</v>
      </c>
      <c r="I23" s="146"/>
      <c r="J23" s="146"/>
    </row>
    <row r="24" spans="1:10" x14ac:dyDescent="0.3">
      <c r="B24" s="145" t="str">
        <f>'Assesment outcomes'!G23</f>
        <v>T-PROD-DAST</v>
      </c>
      <c r="C24" s="146" t="s">
        <v>631</v>
      </c>
      <c r="D24" s="146"/>
      <c r="E24" s="146"/>
      <c r="F24" s="36"/>
      <c r="G24" s="146" t="s">
        <v>632</v>
      </c>
      <c r="H24" s="146" t="s">
        <v>633</v>
      </c>
      <c r="I24" s="146" t="s">
        <v>634</v>
      </c>
      <c r="J24" s="146" t="s">
        <v>635</v>
      </c>
    </row>
    <row r="25" spans="1:10" x14ac:dyDescent="0.3">
      <c r="B25" s="145" t="str">
        <f>'Assesment outcomes'!G24</f>
        <v>T-PROD-PENTEST</v>
      </c>
      <c r="C25" s="146" t="s">
        <v>603</v>
      </c>
      <c r="D25" s="146"/>
      <c r="E25" s="146" t="s">
        <v>554</v>
      </c>
      <c r="F25" s="146" t="s">
        <v>525</v>
      </c>
      <c r="G25" s="146" t="s">
        <v>636</v>
      </c>
      <c r="H25" s="146"/>
      <c r="I25" s="2"/>
      <c r="J25" s="146" t="s">
        <v>637</v>
      </c>
    </row>
    <row r="26" spans="1:10" x14ac:dyDescent="0.3">
      <c r="B26" s="145" t="str">
        <f>'Assesment outcomes'!G25</f>
        <v>T-PROD-ACCESS</v>
      </c>
      <c r="C26" s="146" t="s">
        <v>604</v>
      </c>
      <c r="D26" s="146" t="s">
        <v>576</v>
      </c>
      <c r="E26" s="146"/>
      <c r="F26" s="146" t="s">
        <v>526</v>
      </c>
      <c r="G26" s="146" t="s">
        <v>501</v>
      </c>
      <c r="H26" s="146"/>
      <c r="I26" s="146"/>
      <c r="J26" s="146" t="s">
        <v>467</v>
      </c>
    </row>
    <row r="27" spans="1:10" x14ac:dyDescent="0.3">
      <c r="B27" s="145" t="str">
        <f>'Assesment outcomes'!G26</f>
        <v>T-PROD-NETWORK</v>
      </c>
      <c r="C27" s="146" t="s">
        <v>605</v>
      </c>
      <c r="D27" s="146" t="s">
        <v>577</v>
      </c>
      <c r="E27" s="146" t="s">
        <v>555</v>
      </c>
      <c r="F27" s="146" t="s">
        <v>527</v>
      </c>
      <c r="G27" s="146"/>
      <c r="H27" s="146"/>
      <c r="I27" s="146"/>
      <c r="J27" s="146"/>
    </row>
    <row r="28" spans="1:10" x14ac:dyDescent="0.3">
      <c r="B28" s="145" t="str">
        <f>'Assesment outcomes'!G27</f>
        <v>T-PROD-RUN</v>
      </c>
      <c r="C28" s="146" t="s">
        <v>606</v>
      </c>
      <c r="D28" s="146"/>
      <c r="E28" s="146" t="s">
        <v>638</v>
      </c>
      <c r="F28" s="146" t="s">
        <v>556</v>
      </c>
      <c r="G28" s="36"/>
      <c r="H28" s="146" t="s">
        <v>502</v>
      </c>
      <c r="I28" s="146"/>
      <c r="J28" s="146"/>
    </row>
    <row r="29" spans="1:10" x14ac:dyDescent="0.3">
      <c r="B29" s="145" t="str">
        <f>'Assesment outcomes'!G28</f>
        <v>T-PROD-VULN</v>
      </c>
      <c r="C29" s="146" t="s">
        <v>607</v>
      </c>
      <c r="D29" s="146" t="s">
        <v>557</v>
      </c>
      <c r="E29" s="146" t="s">
        <v>528</v>
      </c>
      <c r="F29" s="146" t="s">
        <v>485</v>
      </c>
      <c r="G29" s="146"/>
      <c r="H29" s="146" t="s">
        <v>468</v>
      </c>
      <c r="I29" s="146"/>
      <c r="J29" s="36"/>
    </row>
    <row r="30" spans="1:10" x14ac:dyDescent="0.3">
      <c r="B30" s="145" t="str">
        <f>'Assesment outcomes'!G29</f>
        <v>T-PROD-EVENTS</v>
      </c>
      <c r="C30" s="146" t="s">
        <v>608</v>
      </c>
      <c r="D30" s="146"/>
      <c r="E30" s="146" t="s">
        <v>558</v>
      </c>
      <c r="F30" s="146" t="s">
        <v>529</v>
      </c>
      <c r="G30" s="146"/>
      <c r="H30" s="146"/>
      <c r="I30" s="146"/>
      <c r="J30" s="146"/>
    </row>
    <row r="31" spans="1:10" x14ac:dyDescent="0.25">
      <c r="A31"/>
      <c r="B31" s="147" t="str">
        <f>'Assesment outcomes'!G30</f>
        <v>P-EDU-AWR</v>
      </c>
      <c r="C31" s="146" t="s">
        <v>609</v>
      </c>
      <c r="D31" s="146" t="s">
        <v>578</v>
      </c>
      <c r="E31" s="146"/>
      <c r="F31" s="146" t="s">
        <v>530</v>
      </c>
      <c r="G31" s="146"/>
      <c r="H31" s="146" t="s">
        <v>486</v>
      </c>
      <c r="I31" s="146" t="s">
        <v>477</v>
      </c>
      <c r="J31" s="146"/>
    </row>
    <row r="32" spans="1:10" x14ac:dyDescent="0.3">
      <c r="B32" s="147" t="str">
        <f>'Assesment outcomes'!G31</f>
        <v>P-EDU-KB</v>
      </c>
      <c r="C32" s="146" t="s">
        <v>610</v>
      </c>
      <c r="D32" s="146" t="s">
        <v>579</v>
      </c>
      <c r="E32" s="146"/>
      <c r="F32" s="146" t="s">
        <v>531</v>
      </c>
      <c r="G32" s="146" t="s">
        <v>503</v>
      </c>
      <c r="H32" s="146" t="s">
        <v>487</v>
      </c>
      <c r="I32" s="146"/>
      <c r="J32" s="146"/>
    </row>
    <row r="33" spans="2:14" x14ac:dyDescent="0.3">
      <c r="B33" s="147" t="str">
        <f>'Assesment outcomes'!G32</f>
        <v>P-REQ-TM</v>
      </c>
      <c r="C33" s="146" t="s">
        <v>611</v>
      </c>
      <c r="D33" s="146"/>
      <c r="E33" s="146" t="s">
        <v>559</v>
      </c>
      <c r="F33" s="146" t="s">
        <v>532</v>
      </c>
      <c r="G33" s="146" t="s">
        <v>504</v>
      </c>
      <c r="H33" s="146" t="s">
        <v>488</v>
      </c>
      <c r="I33" s="146"/>
      <c r="J33" s="146"/>
    </row>
    <row r="34" spans="2:14" x14ac:dyDescent="0.3">
      <c r="B34" s="147" t="str">
        <f>'Assesment outcomes'!G33</f>
        <v>P-REQ-RD</v>
      </c>
      <c r="C34" s="146" t="s">
        <v>612</v>
      </c>
      <c r="D34" s="146" t="s">
        <v>580</v>
      </c>
      <c r="E34" s="146" t="s">
        <v>560</v>
      </c>
      <c r="F34" s="146"/>
      <c r="G34" s="146" t="s">
        <v>505</v>
      </c>
      <c r="H34" s="146"/>
      <c r="I34" s="146" t="s">
        <v>1354</v>
      </c>
      <c r="J34" s="146"/>
    </row>
    <row r="35" spans="2:14" x14ac:dyDescent="0.3">
      <c r="B35" s="147" t="str">
        <f>'Assesment outcomes'!G34</f>
        <v>P-REQ-CR</v>
      </c>
      <c r="C35" s="146" t="s">
        <v>613</v>
      </c>
      <c r="D35" s="146" t="s">
        <v>581</v>
      </c>
      <c r="E35" s="146" t="s">
        <v>561</v>
      </c>
      <c r="F35" s="146"/>
      <c r="G35" s="146"/>
      <c r="H35" s="146" t="s">
        <v>489</v>
      </c>
      <c r="I35" s="146" t="s">
        <v>478</v>
      </c>
      <c r="J35" s="146"/>
    </row>
    <row r="36" spans="2:14" x14ac:dyDescent="0.3">
      <c r="B36" s="147" t="str">
        <f>'Assesment outcomes'!G35</f>
        <v>P-REQ-STDR-App</v>
      </c>
      <c r="C36" s="146" t="s">
        <v>614</v>
      </c>
      <c r="D36" s="49"/>
      <c r="E36" s="36"/>
      <c r="F36" s="146" t="s">
        <v>639</v>
      </c>
      <c r="G36" s="146" t="s">
        <v>640</v>
      </c>
      <c r="H36" s="146" t="s">
        <v>641</v>
      </c>
      <c r="I36" s="146" t="s">
        <v>642</v>
      </c>
      <c r="J36" s="36"/>
    </row>
    <row r="37" spans="2:14" x14ac:dyDescent="0.3">
      <c r="B37" s="147" t="str">
        <f>'Assesment outcomes'!G36</f>
        <v>P-REQ-STDR-Infr</v>
      </c>
      <c r="C37" s="146" t="s">
        <v>615</v>
      </c>
      <c r="D37" s="146" t="s">
        <v>582</v>
      </c>
      <c r="E37" s="146" t="s">
        <v>562</v>
      </c>
      <c r="F37" s="146" t="s">
        <v>533</v>
      </c>
      <c r="G37" s="146"/>
      <c r="H37" s="146" t="s">
        <v>490</v>
      </c>
      <c r="I37" s="146"/>
      <c r="J37" s="146"/>
    </row>
    <row r="38" spans="2:14" x14ac:dyDescent="0.3">
      <c r="B38" s="147" t="str">
        <f>'Assesment outcomes'!G37</f>
        <v>P-DEFECT-MNG</v>
      </c>
      <c r="C38" s="146" t="s">
        <v>616</v>
      </c>
      <c r="D38" s="146" t="s">
        <v>563</v>
      </c>
      <c r="E38" s="146" t="s">
        <v>534</v>
      </c>
      <c r="F38" s="146" t="s">
        <v>506</v>
      </c>
      <c r="G38" s="36"/>
      <c r="H38" s="146"/>
      <c r="I38" s="146"/>
      <c r="J38" s="146" t="s">
        <v>469</v>
      </c>
      <c r="N38" s="52"/>
    </row>
    <row r="39" spans="2:14" x14ac:dyDescent="0.3">
      <c r="B39" s="147" t="str">
        <f>'Assesment outcomes'!G38</f>
        <v>P-DEFECT-CNS</v>
      </c>
      <c r="C39" s="146" t="s">
        <v>617</v>
      </c>
      <c r="D39" s="146"/>
      <c r="E39" s="146"/>
      <c r="F39" s="146" t="s">
        <v>535</v>
      </c>
      <c r="G39" s="146" t="s">
        <v>507</v>
      </c>
      <c r="H39" s="146" t="s">
        <v>491</v>
      </c>
      <c r="I39" s="146" t="s">
        <v>479</v>
      </c>
      <c r="J39" s="146"/>
      <c r="N39" s="52"/>
    </row>
    <row r="40" spans="2:14" x14ac:dyDescent="0.3">
      <c r="B40" s="147" t="str">
        <f>'Assesment outcomes'!G39</f>
        <v>P-MET-SET</v>
      </c>
      <c r="C40" s="146" t="s">
        <v>618</v>
      </c>
      <c r="D40" s="146"/>
      <c r="E40" s="146"/>
      <c r="F40" s="146" t="s">
        <v>536</v>
      </c>
      <c r="G40" s="146" t="s">
        <v>508</v>
      </c>
      <c r="H40" s="146"/>
      <c r="I40" s="146"/>
      <c r="J40" s="146"/>
      <c r="N40" s="52"/>
    </row>
    <row r="41" spans="2:14" x14ac:dyDescent="0.3">
      <c r="B41" s="147" t="str">
        <f>'Assesment outcomes'!G40</f>
        <v>P-MET-EX</v>
      </c>
      <c r="C41" s="146" t="s">
        <v>619</v>
      </c>
      <c r="D41" s="146"/>
      <c r="E41" s="146"/>
      <c r="F41" s="146" t="s">
        <v>537</v>
      </c>
      <c r="G41" s="146" t="s">
        <v>509</v>
      </c>
      <c r="H41" s="146"/>
      <c r="I41" s="146" t="s">
        <v>480</v>
      </c>
      <c r="J41" s="146"/>
      <c r="N41" s="52"/>
    </row>
    <row r="42" spans="2:14" x14ac:dyDescent="0.3">
      <c r="B42" s="147" t="str">
        <f>'Assesment outcomes'!G41</f>
        <v>P-ROLE-SC</v>
      </c>
      <c r="C42" s="146" t="s">
        <v>620</v>
      </c>
      <c r="D42" s="146" t="s">
        <v>583</v>
      </c>
      <c r="E42" s="146"/>
      <c r="F42" s="146" t="s">
        <v>538</v>
      </c>
      <c r="G42" s="146" t="s">
        <v>510</v>
      </c>
      <c r="H42" s="146"/>
      <c r="I42" s="146"/>
      <c r="J42" s="146" t="s">
        <v>470</v>
      </c>
      <c r="N42" s="52"/>
    </row>
    <row r="43" spans="2:14" x14ac:dyDescent="0.3">
      <c r="B43" s="147" t="str">
        <f>'Assesment outcomes'!G42</f>
        <v>P-ROLE-RESP</v>
      </c>
      <c r="C43" s="146" t="s">
        <v>621</v>
      </c>
      <c r="D43" s="146" t="s">
        <v>584</v>
      </c>
      <c r="E43" s="146"/>
      <c r="F43" s="146" t="s">
        <v>539</v>
      </c>
      <c r="G43" s="146" t="s">
        <v>511</v>
      </c>
      <c r="H43" s="146"/>
      <c r="I43" s="146"/>
      <c r="J43" s="146"/>
      <c r="N43" s="52"/>
    </row>
    <row r="44" spans="2:14" ht="17.25" thickBot="1" x14ac:dyDescent="0.35"/>
    <row r="45" spans="2:14" ht="17.25" thickBot="1" x14ac:dyDescent="0.35">
      <c r="B45" s="226" t="s">
        <v>1441</v>
      </c>
      <c r="C45" s="227"/>
      <c r="D45" s="227"/>
      <c r="E45" s="227"/>
      <c r="F45" s="227"/>
      <c r="G45" s="227"/>
      <c r="H45" s="227"/>
      <c r="I45" s="227"/>
      <c r="J45" s="228"/>
    </row>
    <row r="46" spans="2:14" x14ac:dyDescent="0.3">
      <c r="B46" s="162" t="s">
        <v>2075</v>
      </c>
      <c r="C46" s="137" t="s">
        <v>1409</v>
      </c>
      <c r="D46" s="138" t="s">
        <v>1442</v>
      </c>
      <c r="E46" s="139" t="s">
        <v>1411</v>
      </c>
      <c r="F46" s="140" t="s">
        <v>1412</v>
      </c>
      <c r="G46" s="141" t="s">
        <v>1413</v>
      </c>
      <c r="H46" s="142" t="s">
        <v>1414</v>
      </c>
      <c r="I46" s="143" t="s">
        <v>1415</v>
      </c>
      <c r="J46" s="144" t="s">
        <v>1416</v>
      </c>
    </row>
    <row r="47" spans="2:14" x14ac:dyDescent="0.3">
      <c r="B47" s="145" t="str">
        <f>'Assesment outcomes'!G3</f>
        <v>T-ADI-DEP</v>
      </c>
      <c r="C47" s="148">
        <f>'Practices and Requirements'!G4</f>
        <v>0</v>
      </c>
      <c r="D47" s="146"/>
      <c r="E47" s="148">
        <f>'Practices and Requirements'!G5</f>
        <v>0</v>
      </c>
      <c r="F47" s="148">
        <f>'Practices and Requirements'!G10</f>
        <v>0</v>
      </c>
      <c r="G47" s="148">
        <f>'Practices and Requirements'!G12</f>
        <v>0</v>
      </c>
      <c r="H47" s="146"/>
      <c r="I47" s="148">
        <f>'Practices and Requirements'!G15</f>
        <v>0</v>
      </c>
      <c r="J47" s="146"/>
    </row>
    <row r="48" spans="2:14" x14ac:dyDescent="0.3">
      <c r="B48" s="145" t="str">
        <f>'Assesment outcomes'!G4</f>
        <v>T-ADI-ART</v>
      </c>
      <c r="C48" s="148">
        <f>'Practices and Requirements'!G17</f>
        <v>0</v>
      </c>
      <c r="D48" s="148">
        <f>'Practices and Requirements'!G18</f>
        <v>0</v>
      </c>
      <c r="E48" s="146"/>
      <c r="F48" s="148">
        <f>'Practices and Requirements'!G23</f>
        <v>0</v>
      </c>
      <c r="G48" s="148">
        <f>'Practices and Requirements'!G25</f>
        <v>0</v>
      </c>
      <c r="H48" s="148">
        <f>'Practices and Requirements'!G27</f>
        <v>0</v>
      </c>
      <c r="I48" s="146"/>
      <c r="J48" s="146"/>
    </row>
    <row r="49" spans="2:10" x14ac:dyDescent="0.3">
      <c r="B49" s="145" t="str">
        <f>'Assesment outcomes'!G5</f>
        <v>T-DEV-COMP</v>
      </c>
      <c r="C49" s="148">
        <f>'Practices and Requirements'!G33</f>
        <v>0</v>
      </c>
      <c r="D49" s="148">
        <f>'Practices and Requirements'!G34</f>
        <v>0</v>
      </c>
      <c r="E49" s="146"/>
      <c r="F49" s="148">
        <f>'Practices and Requirements'!G36</f>
        <v>0</v>
      </c>
      <c r="G49" s="146"/>
      <c r="H49" s="146"/>
      <c r="I49" s="146"/>
      <c r="J49" s="146"/>
    </row>
    <row r="50" spans="2:10" x14ac:dyDescent="0.3">
      <c r="B50" s="145" t="str">
        <f>'Assesment outcomes'!G6</f>
        <v>T-DEV-SM</v>
      </c>
      <c r="C50" s="148">
        <f>'Practices and Requirements'!G37</f>
        <v>0</v>
      </c>
      <c r="D50" s="148">
        <f>'Practices and Requirements'!G38</f>
        <v>0</v>
      </c>
      <c r="E50" s="148">
        <f>'Practices and Requirements'!G40</f>
        <v>0</v>
      </c>
      <c r="F50" s="148">
        <f>'Practices and Requirements'!G42</f>
        <v>0</v>
      </c>
      <c r="G50" s="146"/>
      <c r="H50" s="146"/>
      <c r="I50" s="148">
        <f>'Practices and Requirements'!G44</f>
        <v>0</v>
      </c>
      <c r="J50" s="146"/>
    </row>
    <row r="51" spans="2:10" x14ac:dyDescent="0.3">
      <c r="B51" s="145" t="str">
        <f>'Assesment outcomes'!G7</f>
        <v>T-DEV-BLD</v>
      </c>
      <c r="C51" s="148">
        <f>'Practices and Requirements'!G45</f>
        <v>0</v>
      </c>
      <c r="D51" s="146"/>
      <c r="E51" s="148">
        <f>'Practices and Requirements'!G46</f>
        <v>0</v>
      </c>
      <c r="F51" s="148">
        <f>'Practices and Requirements'!G50</f>
        <v>0</v>
      </c>
      <c r="G51" s="146"/>
      <c r="H51" s="148">
        <f>'Practices and Requirements'!G51</f>
        <v>0</v>
      </c>
      <c r="I51" s="148">
        <f>'Practices and Requirements'!G54</f>
        <v>0</v>
      </c>
      <c r="J51" s="146"/>
    </row>
    <row r="52" spans="2:10" x14ac:dyDescent="0.3">
      <c r="B52" s="145" t="str">
        <f>'Assesment outcomes'!G8</f>
        <v>T-DEV-SCM</v>
      </c>
      <c r="C52" s="148">
        <f>'Practices and Requirements'!G55</f>
        <v>0</v>
      </c>
      <c r="D52" s="146"/>
      <c r="E52" s="148">
        <f>'Practices and Requirements'!G56</f>
        <v>0</v>
      </c>
      <c r="F52" s="148">
        <f>'Practices and Requirements'!G63</f>
        <v>0</v>
      </c>
      <c r="G52" s="148">
        <f>'Practices and Requirements'!G69</f>
        <v>0</v>
      </c>
      <c r="H52" s="146"/>
      <c r="I52" s="148">
        <f>'Practices and Requirements'!G73</f>
        <v>0</v>
      </c>
      <c r="J52" s="146"/>
    </row>
    <row r="53" spans="2:10" x14ac:dyDescent="0.3">
      <c r="B53" s="145" t="str">
        <f>'Assesment outcomes'!G9</f>
        <v>T-DEV-SRC</v>
      </c>
      <c r="C53" s="148">
        <f>'Practices and Requirements'!G76</f>
        <v>0</v>
      </c>
      <c r="D53" s="148">
        <f>'Practices and Requirements'!G77</f>
        <v>0</v>
      </c>
      <c r="E53" s="146"/>
      <c r="F53" s="148">
        <f>'Practices and Requirements'!G82</f>
        <v>0</v>
      </c>
      <c r="G53" s="148">
        <f>'Practices and Requirements'!G88</f>
        <v>0</v>
      </c>
      <c r="H53" s="146"/>
      <c r="I53" s="148">
        <f>'Practices and Requirements'!G94</f>
        <v>0</v>
      </c>
      <c r="J53" s="146"/>
    </row>
    <row r="54" spans="2:10" x14ac:dyDescent="0.3">
      <c r="B54" s="145" t="str">
        <f>'Assesment outcomes'!G10</f>
        <v>T-DEV-CICD</v>
      </c>
      <c r="C54" s="148">
        <f>'Practices and Requirements'!G95</f>
        <v>0</v>
      </c>
      <c r="D54" s="148">
        <f>'Practices and Requirements'!G96</f>
        <v>0</v>
      </c>
      <c r="E54" s="146"/>
      <c r="F54" s="148">
        <f>'Practices and Requirements'!G101</f>
        <v>0</v>
      </c>
      <c r="G54" s="148">
        <f>'Practices and Requirements'!G103</f>
        <v>0</v>
      </c>
      <c r="H54" s="148">
        <f>'Practices and Requirements'!G104</f>
        <v>0</v>
      </c>
      <c r="I54" s="146"/>
      <c r="J54" s="146"/>
    </row>
    <row r="55" spans="2:10" x14ac:dyDescent="0.3">
      <c r="B55" s="145" t="str">
        <f>'Assesment outcomes'!G11</f>
        <v>T-CODE-SPC</v>
      </c>
      <c r="C55" s="148">
        <f>'Practices and Requirements'!G107</f>
        <v>0</v>
      </c>
      <c r="D55" s="146"/>
      <c r="E55" s="148">
        <f>'Practices and Requirements'!G108</f>
        <v>0</v>
      </c>
      <c r="F55" s="146"/>
      <c r="G55" s="148">
        <f>'Practices and Requirements'!G110</f>
        <v>0</v>
      </c>
      <c r="H55" s="148">
        <f>'Practices and Requirements'!G114</f>
        <v>0</v>
      </c>
      <c r="I55" s="146"/>
      <c r="J55" s="148">
        <f>'Practices and Requirements'!G119</f>
        <v>0</v>
      </c>
    </row>
    <row r="56" spans="2:10" x14ac:dyDescent="0.3">
      <c r="B56" s="145" t="str">
        <f>'Assesment outcomes'!G12</f>
        <v>T-CODE-SST</v>
      </c>
      <c r="C56" s="148">
        <f>'Practices and Requirements'!G120</f>
        <v>0</v>
      </c>
      <c r="D56" s="146"/>
      <c r="E56" s="148">
        <f>'Practices and Requirements'!G121</f>
        <v>0</v>
      </c>
      <c r="F56" s="148">
        <f>'Practices and Requirements'!G123</f>
        <v>0</v>
      </c>
      <c r="G56" s="148">
        <f>'Practices and Requirements'!G127</f>
        <v>0</v>
      </c>
      <c r="H56" s="146"/>
      <c r="I56" s="146"/>
      <c r="J56" s="148">
        <f>'Practices and Requirements'!G130</f>
        <v>0</v>
      </c>
    </row>
    <row r="57" spans="2:10" x14ac:dyDescent="0.3">
      <c r="B57" s="145" t="str">
        <f>'Assesment outcomes'!G13</f>
        <v>T-CODE-SC</v>
      </c>
      <c r="C57" s="148">
        <f>'Practices and Requirements'!G131</f>
        <v>0</v>
      </c>
      <c r="D57" s="148">
        <f>'Practices and Requirements'!G132</f>
        <v>0</v>
      </c>
      <c r="E57" s="148">
        <f>'Practices and Requirements'!G135</f>
        <v>0</v>
      </c>
      <c r="F57" s="146"/>
      <c r="G57" s="148">
        <f>'Practices and Requirements'!G140</f>
        <v>0</v>
      </c>
      <c r="H57" s="146"/>
      <c r="I57" s="148">
        <f>'Practices and Requirements'!G144</f>
        <v>0</v>
      </c>
      <c r="J57" s="146"/>
    </row>
    <row r="58" spans="2:10" x14ac:dyDescent="0.3">
      <c r="B58" s="145" t="str">
        <f>'Assesment outcomes'!G14</f>
        <v>T-CODE-IMG</v>
      </c>
      <c r="C58" s="148">
        <f>'Practices and Requirements'!G145</f>
        <v>0</v>
      </c>
      <c r="D58" s="148">
        <f>'Practices and Requirements'!G146</f>
        <v>0</v>
      </c>
      <c r="E58" s="148">
        <f>'Practices and Requirements'!G149</f>
        <v>0</v>
      </c>
      <c r="F58" s="148">
        <f>'Practices and Requirements'!G152</f>
        <v>0</v>
      </c>
      <c r="G58" s="148" cm="1">
        <f t="array" ref="G58:G59">'Practices and Requirements'!G153:G154</f>
        <v>0</v>
      </c>
      <c r="H58" s="146"/>
      <c r="I58" s="146"/>
      <c r="J58" s="146"/>
    </row>
    <row r="59" spans="2:10" x14ac:dyDescent="0.3">
      <c r="B59" s="145" t="str">
        <f>'Assesment outcomes'!G15</f>
        <v>T-CODE-SECDN</v>
      </c>
      <c r="C59" s="148">
        <f>'Practices and Requirements'!G155</f>
        <v>0</v>
      </c>
      <c r="D59" s="148">
        <f>'Practices and Requirements'!G156</f>
        <v>0</v>
      </c>
      <c r="E59" s="148">
        <f>'Practices and Requirements'!G160</f>
        <v>0</v>
      </c>
      <c r="F59" s="148">
        <f>'Practices and Requirements'!G163</f>
        <v>0</v>
      </c>
      <c r="G59" s="146">
        <v>0</v>
      </c>
      <c r="H59" s="148">
        <f>'Practices and Requirements'!G166</f>
        <v>0</v>
      </c>
      <c r="I59" s="146"/>
      <c r="J59" s="146"/>
    </row>
    <row r="60" spans="2:10" x14ac:dyDescent="0.3">
      <c r="B60" s="145" t="str">
        <f>'Assesment outcomes'!G16</f>
        <v>T-CODE-DOCKERFS</v>
      </c>
      <c r="C60" s="148">
        <f>'Practices and Requirements'!G167</f>
        <v>0</v>
      </c>
      <c r="D60" s="148">
        <f>'Practices and Requirements'!G168</f>
        <v>0</v>
      </c>
      <c r="E60" s="148">
        <f>'Practices and Requirements'!G170</f>
        <v>0</v>
      </c>
      <c r="F60" s="146"/>
      <c r="G60" s="146"/>
      <c r="H60" s="146"/>
      <c r="I60" s="146"/>
      <c r="J60" s="146"/>
    </row>
    <row r="61" spans="2:10" x14ac:dyDescent="0.3">
      <c r="B61" s="145" t="str">
        <f>'Assesment outcomes'!G17</f>
        <v>T-PREPROD-DAST</v>
      </c>
      <c r="C61" s="148">
        <f>'Practices and Requirements'!G173</f>
        <v>0</v>
      </c>
      <c r="D61" s="146"/>
      <c r="E61" s="146"/>
      <c r="F61" s="148">
        <f>'Practices and Requirements'!G174</f>
        <v>0</v>
      </c>
      <c r="G61" s="148">
        <f>'Practices and Requirements'!G176</f>
        <v>0</v>
      </c>
      <c r="H61" s="148">
        <f>'Practices and Requirements'!G180</f>
        <v>0</v>
      </c>
      <c r="I61" s="148">
        <f>'Practices and Requirements'!G184</f>
        <v>0</v>
      </c>
      <c r="J61" s="36"/>
    </row>
    <row r="62" spans="2:10" x14ac:dyDescent="0.3">
      <c r="B62" s="145" t="str">
        <f>'Assesment outcomes'!G18</f>
        <v>T-PREPROD-PENTEST</v>
      </c>
      <c r="C62" s="148">
        <f>'Practices and Requirements'!G187</f>
        <v>0</v>
      </c>
      <c r="D62" s="148">
        <f>'Practices and Requirements'!G188</f>
        <v>0</v>
      </c>
      <c r="E62" s="148">
        <f>'Practices and Requirements'!G191</f>
        <v>0</v>
      </c>
      <c r="F62" s="146"/>
      <c r="G62" s="146"/>
      <c r="H62" s="2"/>
      <c r="I62" s="148">
        <f>'Practices and Requirements'!G192</f>
        <v>0</v>
      </c>
      <c r="J62" s="146"/>
    </row>
    <row r="63" spans="2:10" x14ac:dyDescent="0.3">
      <c r="B63" s="145" t="str">
        <f>'Assesment outcomes'!G19</f>
        <v>T-PREPROD-SECTEST</v>
      </c>
      <c r="C63" s="148">
        <f>'Practices and Requirements'!G193</f>
        <v>0</v>
      </c>
      <c r="D63" s="146"/>
      <c r="E63" s="148">
        <f>'Practices and Requirements'!G199</f>
        <v>0</v>
      </c>
      <c r="F63" s="2"/>
      <c r="G63" s="148">
        <f>'Practices and Requirements'!G201</f>
        <v>0</v>
      </c>
      <c r="H63" s="148">
        <f>'Practices and Requirements'!G204</f>
        <v>0</v>
      </c>
      <c r="I63" s="146"/>
      <c r="J63" s="148">
        <f>'Practices and Requirements'!G208</f>
        <v>0</v>
      </c>
    </row>
    <row r="64" spans="2:10" x14ac:dyDescent="0.3">
      <c r="B64" s="145" t="str">
        <f>'Assesment outcomes'!G20</f>
        <v>T-PREPROD-MANSEC</v>
      </c>
      <c r="C64" s="148">
        <f>'Practices and Requirements'!G210</f>
        <v>0</v>
      </c>
      <c r="D64" s="148">
        <f>'Practices and Requirements'!G194</f>
        <v>0</v>
      </c>
      <c r="E64" s="148">
        <f>'Practices and Requirements'!G195</f>
        <v>0</v>
      </c>
      <c r="F64" s="146"/>
      <c r="G64" s="146"/>
      <c r="H64" s="146"/>
      <c r="I64" s="148">
        <f>'Practices and Requirements'!G197</f>
        <v>0</v>
      </c>
      <c r="J64" s="146"/>
    </row>
    <row r="65" spans="2:10" x14ac:dyDescent="0.3">
      <c r="B65" s="145" t="str">
        <f>'Assesment outcomes'!G21</f>
        <v>T-PREPROD-VULN</v>
      </c>
      <c r="C65" s="148">
        <f>'Practices and Requirements'!G198</f>
        <v>0</v>
      </c>
      <c r="D65" s="146"/>
      <c r="E65" s="148">
        <f>'Practices and Requirements'!G211</f>
        <v>0</v>
      </c>
      <c r="F65" s="148">
        <f>'Practices and Requirements'!G212</f>
        <v>0</v>
      </c>
      <c r="G65" s="146"/>
      <c r="H65" s="146"/>
      <c r="I65" s="146"/>
      <c r="J65" s="146"/>
    </row>
    <row r="66" spans="2:10" x14ac:dyDescent="0.3">
      <c r="B66" s="145" t="str">
        <f>'Assesment outcomes'!G22</f>
        <v>T-PROD-SM</v>
      </c>
      <c r="C66" s="148">
        <f>'Practices and Requirements'!G215</f>
        <v>0</v>
      </c>
      <c r="D66" s="148">
        <f>'Practices and Requirements'!G216</f>
        <v>0</v>
      </c>
      <c r="E66" s="148">
        <f>'Practices and Requirements'!G218</f>
        <v>0</v>
      </c>
      <c r="F66" s="148">
        <f>'Practices and Requirements'!G220</f>
        <v>0</v>
      </c>
      <c r="G66" s="146"/>
      <c r="H66" s="148">
        <f>'Practices and Requirements'!G223</f>
        <v>0</v>
      </c>
      <c r="I66" s="146"/>
      <c r="J66" s="146"/>
    </row>
    <row r="67" spans="2:10" x14ac:dyDescent="0.3">
      <c r="B67" s="145" t="str">
        <f>'Assesment outcomes'!G23</f>
        <v>T-PROD-DAST</v>
      </c>
      <c r="C67" s="148">
        <f>'Practices and Requirements'!G234</f>
        <v>0</v>
      </c>
      <c r="D67" s="146"/>
      <c r="E67" s="146"/>
      <c r="F67" s="36"/>
      <c r="G67" s="148">
        <f>'Practices and Requirements'!G235</f>
        <v>0</v>
      </c>
      <c r="H67" s="148">
        <f>'Practices and Requirements'!G238</f>
        <v>0</v>
      </c>
      <c r="I67" s="148">
        <f>'Practices and Requirements'!G242</f>
        <v>0</v>
      </c>
      <c r="J67" s="148">
        <f>'Practices and Requirements'!G246</f>
        <v>0</v>
      </c>
    </row>
    <row r="68" spans="2:10" x14ac:dyDescent="0.3">
      <c r="B68" s="145" t="str">
        <f>'Assesment outcomes'!G24</f>
        <v>T-PROD-PENTEST</v>
      </c>
      <c r="C68" s="148">
        <f>'Practices and Requirements'!G226</f>
        <v>0</v>
      </c>
      <c r="D68" s="146"/>
      <c r="E68" s="148">
        <f>'Practices and Requirements'!G227</f>
        <v>0</v>
      </c>
      <c r="F68" s="148">
        <f>'Practices and Requirements'!G230</f>
        <v>0</v>
      </c>
      <c r="G68" s="148">
        <f>'Practices and Requirements'!G231</f>
        <v>0</v>
      </c>
      <c r="H68" s="146"/>
      <c r="I68" s="2"/>
      <c r="J68" s="148">
        <f>'Practices and Requirements'!G232</f>
        <v>0</v>
      </c>
    </row>
    <row r="69" spans="2:10" x14ac:dyDescent="0.3">
      <c r="B69" s="145" t="str">
        <f>'Assesment outcomes'!G25</f>
        <v>T-PROD-ACCESS</v>
      </c>
      <c r="C69" s="148">
        <f>'Practices and Requirements'!G249</f>
        <v>0</v>
      </c>
      <c r="D69" s="148">
        <f>'Practices and Requirements'!G250</f>
        <v>0</v>
      </c>
      <c r="E69" s="146"/>
      <c r="F69" s="148">
        <f>'Practices and Requirements'!G255</f>
        <v>0</v>
      </c>
      <c r="G69" s="148">
        <f>'Practices and Requirements'!G257</f>
        <v>0</v>
      </c>
      <c r="H69" s="146"/>
      <c r="I69" s="146"/>
      <c r="J69" s="148">
        <f>'Practices and Requirements'!G258</f>
        <v>0</v>
      </c>
    </row>
    <row r="70" spans="2:10" x14ac:dyDescent="0.3">
      <c r="B70" s="145" t="str">
        <f>'Assesment outcomes'!G26</f>
        <v>T-PROD-NETWORK</v>
      </c>
      <c r="C70" s="148">
        <f>'Practices and Requirements'!G259</f>
        <v>0</v>
      </c>
      <c r="D70" s="148">
        <f>'Practices and Requirements'!G260</f>
        <v>0</v>
      </c>
      <c r="E70" s="148">
        <f>'Practices and Requirements'!G262</f>
        <v>0</v>
      </c>
      <c r="F70" s="148">
        <f>'Practices and Requirements'!G264</f>
        <v>0</v>
      </c>
      <c r="G70" s="146"/>
      <c r="H70" s="146"/>
      <c r="I70" s="146"/>
      <c r="J70" s="146"/>
    </row>
    <row r="71" spans="2:10" x14ac:dyDescent="0.3">
      <c r="B71" s="145" t="str">
        <f>'Assesment outcomes'!G27</f>
        <v>T-PROD-RUN</v>
      </c>
      <c r="C71" s="148">
        <f>'Practices and Requirements'!G265</f>
        <v>0</v>
      </c>
      <c r="D71" s="146"/>
      <c r="E71" s="148">
        <f>'Practices and Requirements'!G266</f>
        <v>0</v>
      </c>
      <c r="F71" s="148">
        <f>'Practices and Requirements'!G267</f>
        <v>0</v>
      </c>
      <c r="G71" s="36"/>
      <c r="H71" s="148">
        <f>'Practices and Requirements'!G268</f>
        <v>0</v>
      </c>
      <c r="I71" s="146"/>
      <c r="J71" s="146"/>
    </row>
    <row r="72" spans="2:10" x14ac:dyDescent="0.3">
      <c r="B72" s="145" t="str">
        <f>'Assesment outcomes'!G28</f>
        <v>T-PROD-VULN</v>
      </c>
      <c r="C72" s="148">
        <f>'Practices and Requirements'!G269</f>
        <v>0</v>
      </c>
      <c r="D72" s="148">
        <f>'Practices and Requirements'!G270</f>
        <v>0</v>
      </c>
      <c r="E72" s="148">
        <f>'Practices and Requirements'!G272</f>
        <v>0</v>
      </c>
      <c r="F72" s="148">
        <f>'Practices and Requirements'!G275</f>
        <v>0</v>
      </c>
      <c r="G72" s="146"/>
      <c r="H72" s="148">
        <f>'Practices and Requirements'!G279</f>
        <v>0</v>
      </c>
      <c r="I72" s="146"/>
      <c r="J72" s="36"/>
    </row>
    <row r="73" spans="2:10" x14ac:dyDescent="0.3">
      <c r="B73" s="145" t="str">
        <f>'Assesment outcomes'!G29</f>
        <v>T-PROD-EVENTS</v>
      </c>
      <c r="C73" s="148">
        <f>'Practices and Requirements'!G281</f>
        <v>0</v>
      </c>
      <c r="D73" s="146"/>
      <c r="E73" s="148">
        <f>'Practices and Requirements'!G282</f>
        <v>0</v>
      </c>
      <c r="F73" s="148">
        <f>'Practices and Requirements'!G283</f>
        <v>0</v>
      </c>
      <c r="G73" s="146"/>
      <c r="H73" s="146"/>
      <c r="I73" s="146"/>
      <c r="J73" s="146"/>
    </row>
    <row r="74" spans="2:10" x14ac:dyDescent="0.3">
      <c r="B74" s="147" t="str">
        <f>'Assesment outcomes'!G30</f>
        <v>P-EDU-AWR</v>
      </c>
      <c r="C74" s="148">
        <f>'Practices and Requirements'!G286</f>
        <v>0</v>
      </c>
      <c r="D74" s="148">
        <f>'Practices and Requirements'!G287</f>
        <v>0</v>
      </c>
      <c r="E74" s="146"/>
      <c r="F74" s="148">
        <f>'Practices and Requirements'!G289</f>
        <v>0</v>
      </c>
      <c r="G74" s="146"/>
      <c r="H74" s="148">
        <f>'Practices and Requirements'!G293</f>
        <v>0</v>
      </c>
      <c r="I74" s="148">
        <f>'Practices and Requirements'!G295</f>
        <v>0</v>
      </c>
      <c r="J74" s="146"/>
    </row>
    <row r="75" spans="2:10" x14ac:dyDescent="0.3">
      <c r="B75" s="147" t="str">
        <f>'Assesment outcomes'!G31</f>
        <v>P-EDU-KB</v>
      </c>
      <c r="C75" s="148">
        <f>'Practices and Requirements'!G296</f>
        <v>0</v>
      </c>
      <c r="D75" s="148">
        <f>'Practices and Requirements'!G297</f>
        <v>0</v>
      </c>
      <c r="E75" s="146"/>
      <c r="F75" s="148">
        <f>'Practices and Requirements'!G298</f>
        <v>0</v>
      </c>
      <c r="G75" s="148">
        <f>'Practices and Requirements'!G300</f>
        <v>0</v>
      </c>
      <c r="H75" s="148">
        <f>'Practices and Requirements'!G303</f>
        <v>0</v>
      </c>
      <c r="I75" s="146"/>
      <c r="J75" s="146"/>
    </row>
    <row r="76" spans="2:10" x14ac:dyDescent="0.3">
      <c r="B76" s="147" t="str">
        <f>'Assesment outcomes'!G32</f>
        <v>P-REQ-TM</v>
      </c>
      <c r="C76" s="148">
        <f>'Practices and Requirements'!G307</f>
        <v>0</v>
      </c>
      <c r="D76" s="146"/>
      <c r="E76" s="148">
        <f>'Practices and Requirements'!G308</f>
        <v>0</v>
      </c>
      <c r="F76" s="148">
        <f>'Practices and Requirements'!G311</f>
        <v>0</v>
      </c>
      <c r="G76" s="148">
        <f>'Practices and Requirements'!G314</f>
        <v>0</v>
      </c>
      <c r="H76" s="148">
        <f>'Practices and Requirements'!G317</f>
        <v>0</v>
      </c>
      <c r="I76" s="146"/>
      <c r="J76" s="146"/>
    </row>
    <row r="77" spans="2:10" x14ac:dyDescent="0.3">
      <c r="B77" s="147" t="str">
        <f>'Assesment outcomes'!G33</f>
        <v>P-REQ-RD</v>
      </c>
      <c r="C77" s="148">
        <f>'Practices and Requirements'!G318</f>
        <v>0</v>
      </c>
      <c r="D77" s="148">
        <f>'Practices and Requirements'!G319</f>
        <v>0</v>
      </c>
      <c r="E77" s="148">
        <f>'Practices and Requirements'!G321</f>
        <v>0</v>
      </c>
      <c r="F77" s="146"/>
      <c r="G77" s="148">
        <f>'Practices and Requirements'!G324</f>
        <v>0</v>
      </c>
      <c r="H77" s="146"/>
      <c r="I77" s="148">
        <f>'Practices and Requirements'!G327</f>
        <v>0</v>
      </c>
      <c r="J77" s="146"/>
    </row>
    <row r="78" spans="2:10" x14ac:dyDescent="0.3">
      <c r="B78" s="147" t="str">
        <f>'Assesment outcomes'!G34</f>
        <v>P-REQ-CR</v>
      </c>
      <c r="C78" s="148">
        <f>'Practices and Requirements'!G328</f>
        <v>0</v>
      </c>
      <c r="D78" s="148">
        <f>'Practices and Requirements'!G329</f>
        <v>0</v>
      </c>
      <c r="E78" s="148">
        <f>'Practices and Requirements'!G330</f>
        <v>0</v>
      </c>
      <c r="F78" s="146"/>
      <c r="G78" s="146"/>
      <c r="H78" s="148">
        <f>'Practices and Requirements'!G331</f>
        <v>0</v>
      </c>
      <c r="I78" s="148">
        <f>'Practices and Requirements'!G332</f>
        <v>0</v>
      </c>
      <c r="J78" s="146"/>
    </row>
    <row r="79" spans="2:10" x14ac:dyDescent="0.3">
      <c r="B79" s="147" t="str">
        <f>'Assesment outcomes'!G35</f>
        <v>P-REQ-STDR-App</v>
      </c>
      <c r="C79" s="148">
        <f>'Practices and Requirements'!G333</f>
        <v>0</v>
      </c>
      <c r="D79" s="49"/>
      <c r="E79" s="36"/>
      <c r="F79" s="148">
        <f>'Practices and Requirements'!G334</f>
        <v>0</v>
      </c>
      <c r="G79" s="148">
        <f>'Practices and Requirements'!G336</f>
        <v>0</v>
      </c>
      <c r="H79" s="148">
        <f>'Practices and Requirements'!G337</f>
        <v>0</v>
      </c>
      <c r="I79" s="148">
        <f>'Practices and Requirements'!G339</f>
        <v>0</v>
      </c>
      <c r="J79" s="36"/>
    </row>
    <row r="80" spans="2:10" x14ac:dyDescent="0.3">
      <c r="B80" s="147" t="str">
        <f>'Assesment outcomes'!G36</f>
        <v>P-REQ-STDR-Infr</v>
      </c>
      <c r="C80" s="148">
        <f>'Practices and Requirements'!G340</f>
        <v>0</v>
      </c>
      <c r="D80" s="148">
        <f>'Practices and Requirements'!G341</f>
        <v>0</v>
      </c>
      <c r="E80" s="148">
        <f>'Practices and Requirements'!G343</f>
        <v>0</v>
      </c>
      <c r="F80" s="148">
        <f>'Practices and Requirements'!G345</f>
        <v>0</v>
      </c>
      <c r="G80" s="146"/>
      <c r="H80" s="148">
        <f>'Practices and Requirements'!G348</f>
        <v>0</v>
      </c>
      <c r="I80" s="146"/>
      <c r="J80" s="146"/>
    </row>
    <row r="81" spans="2:14" x14ac:dyDescent="0.3">
      <c r="B81" s="147" t="str">
        <f>'Assesment outcomes'!G37</f>
        <v>P-DEFECT-MNG</v>
      </c>
      <c r="C81" s="148">
        <f>'Practices and Requirements'!G351</f>
        <v>0</v>
      </c>
      <c r="D81" s="148">
        <f>'Practices and Requirements'!G352</f>
        <v>0</v>
      </c>
      <c r="E81" s="148">
        <f>'Practices and Requirements'!G353</f>
        <v>0</v>
      </c>
      <c r="F81" s="148">
        <f>'Practices and Requirements'!G355</f>
        <v>0</v>
      </c>
      <c r="G81" s="36"/>
      <c r="H81" s="146"/>
      <c r="I81" s="146"/>
      <c r="J81" s="148">
        <f>'Practices and Requirements'!G358</f>
        <v>0</v>
      </c>
      <c r="N81" s="52"/>
    </row>
    <row r="82" spans="2:14" x14ac:dyDescent="0.3">
      <c r="B82" s="147" t="str">
        <f>'Assesment outcomes'!G38</f>
        <v>P-DEFECT-CNS</v>
      </c>
      <c r="C82" s="148">
        <f>'Practices and Requirements'!G359</f>
        <v>0</v>
      </c>
      <c r="D82" s="146"/>
      <c r="E82" s="146"/>
      <c r="F82" s="148">
        <f>'Practices and Requirements'!G360</f>
        <v>0</v>
      </c>
      <c r="G82" s="148">
        <f>'Practices and Requirements'!G362</f>
        <v>0</v>
      </c>
      <c r="H82" s="148">
        <f>'Practices and Requirements'!G363</f>
        <v>0</v>
      </c>
      <c r="I82" s="148">
        <f>'Practices and Requirements'!G366</f>
        <v>0</v>
      </c>
      <c r="J82" s="146"/>
      <c r="N82" s="52"/>
    </row>
    <row r="83" spans="2:14" x14ac:dyDescent="0.3">
      <c r="B83" s="147" t="str">
        <f>'Assesment outcomes'!G39</f>
        <v>P-MET-SET</v>
      </c>
      <c r="C83" s="148">
        <f>'Practices and Requirements'!G369</f>
        <v>0</v>
      </c>
      <c r="D83" s="146"/>
      <c r="E83" s="146"/>
      <c r="F83" s="148">
        <f>'Practices and Requirements'!G370</f>
        <v>0</v>
      </c>
      <c r="G83" s="148">
        <f>'Practices and Requirements'!G372</f>
        <v>0</v>
      </c>
      <c r="H83" s="146"/>
      <c r="I83" s="146"/>
      <c r="J83" s="146"/>
      <c r="N83" s="52"/>
    </row>
    <row r="84" spans="2:14" x14ac:dyDescent="0.3">
      <c r="B84" s="147" t="str">
        <f>'Assesment outcomes'!G40</f>
        <v>P-MET-EX</v>
      </c>
      <c r="C84" s="148">
        <f>'Practices and Requirements'!G374</f>
        <v>0</v>
      </c>
      <c r="D84" s="146"/>
      <c r="E84" s="146"/>
      <c r="F84" s="148">
        <f>'Practices and Requirements'!G375</f>
        <v>0</v>
      </c>
      <c r="G84" s="148">
        <f>'Practices and Requirements'!G377</f>
        <v>0</v>
      </c>
      <c r="H84" s="146"/>
      <c r="I84" s="148">
        <f>'Practices and Requirements'!G380</f>
        <v>0</v>
      </c>
      <c r="J84" s="146"/>
      <c r="N84" s="52"/>
    </row>
    <row r="85" spans="2:14" x14ac:dyDescent="0.3">
      <c r="B85" s="147" t="str">
        <f>'Assesment outcomes'!G41</f>
        <v>P-ROLE-SC</v>
      </c>
      <c r="C85" s="148">
        <f>'Practices and Requirements'!G383</f>
        <v>0</v>
      </c>
      <c r="D85" s="148">
        <f>'Practices and Requirements'!G384</f>
        <v>0</v>
      </c>
      <c r="E85" s="146"/>
      <c r="F85" s="148">
        <f>'Practices and Requirements'!G385</f>
        <v>0</v>
      </c>
      <c r="G85" s="148">
        <f>'Practices and Requirements'!G387</f>
        <v>0</v>
      </c>
      <c r="H85" s="146"/>
      <c r="I85" s="146"/>
      <c r="J85" s="148">
        <f>'Practices and Requirements'!G391</f>
        <v>0</v>
      </c>
      <c r="N85" s="52"/>
    </row>
    <row r="86" spans="2:14" x14ac:dyDescent="0.3">
      <c r="B86" s="147" t="str">
        <f>'Assesment outcomes'!G42</f>
        <v>P-ROLE-RESP</v>
      </c>
      <c r="C86" s="148">
        <f>'Practices and Requirements'!G395</f>
        <v>0</v>
      </c>
      <c r="D86" s="148">
        <f>'Practices and Requirements'!G396</f>
        <v>0</v>
      </c>
      <c r="E86" s="146"/>
      <c r="F86" s="148">
        <f>'Practices and Requirements'!G398</f>
        <v>0</v>
      </c>
      <c r="G86" s="148">
        <f>'Practices and Requirements'!G402</f>
        <v>0</v>
      </c>
      <c r="H86" s="146"/>
      <c r="I86" s="146"/>
      <c r="J86" s="146"/>
      <c r="N86" s="52"/>
    </row>
    <row r="87" spans="2:14" x14ac:dyDescent="0.3">
      <c r="B87" s="149" t="s">
        <v>1784</v>
      </c>
      <c r="C87" s="150">
        <f>AVERAGE(C47:C86)</f>
        <v>0</v>
      </c>
      <c r="D87" s="150">
        <f>AVERAGE(D47:D86)</f>
        <v>0</v>
      </c>
      <c r="E87" s="150">
        <f t="shared" ref="E87:J87" si="0">AVERAGE(E47:E86)</f>
        <v>0</v>
      </c>
      <c r="F87" s="150">
        <f t="shared" si="0"/>
        <v>0</v>
      </c>
      <c r="G87" s="150">
        <f t="shared" si="0"/>
        <v>0</v>
      </c>
      <c r="H87" s="150">
        <f t="shared" si="0"/>
        <v>0</v>
      </c>
      <c r="I87" s="150">
        <f t="shared" si="0"/>
        <v>0</v>
      </c>
      <c r="J87" s="150">
        <f t="shared" si="0"/>
        <v>0</v>
      </c>
    </row>
    <row r="105" spans="1:1" ht="15" x14ac:dyDescent="0.25">
      <c r="A105"/>
    </row>
    <row r="171" spans="1:1" ht="15" x14ac:dyDescent="0.25">
      <c r="A171"/>
    </row>
    <row r="213" spans="1:1" ht="15" x14ac:dyDescent="0.25">
      <c r="A213"/>
    </row>
    <row r="284" spans="1:1" ht="15" x14ac:dyDescent="0.25">
      <c r="A284"/>
    </row>
    <row r="305" spans="1:1" ht="15" x14ac:dyDescent="0.25">
      <c r="A305"/>
    </row>
    <row r="349" spans="1:1" ht="15" x14ac:dyDescent="0.25">
      <c r="A349"/>
    </row>
    <row r="367" spans="1:1" ht="15" x14ac:dyDescent="0.25">
      <c r="A367"/>
    </row>
    <row r="381" spans="1:1" ht="15" x14ac:dyDescent="0.25">
      <c r="A381"/>
    </row>
  </sheetData>
  <mergeCells count="2">
    <mergeCell ref="B2:J2"/>
    <mergeCell ref="B45:J45"/>
  </mergeCells>
  <conditionalFormatting sqref="C4:C41">
    <cfRule type="expression" dxfId="288" priority="17460" stopIfTrue="1">
      <formula>AND(#REF!&gt;40%,#REF!&lt;=60%)</formula>
    </cfRule>
    <cfRule type="expression" dxfId="287" priority="17458" stopIfTrue="1">
      <formula>AND(#REF!&gt;80%,#REF!&lt;=100%)</formula>
    </cfRule>
    <cfRule type="expression" dxfId="286" priority="17459" stopIfTrue="1">
      <formula>AND(#REF!&gt;60%,#REF!&lt;=80%)</formula>
    </cfRule>
    <cfRule type="expression" dxfId="285" priority="17461" stopIfTrue="1">
      <formula>AND(#REF!&gt;20%,#REF!&lt;=40%)</formula>
    </cfRule>
    <cfRule type="expression" dxfId="284" priority="17462" stopIfTrue="1">
      <formula>#REF!&lt;=20</formula>
    </cfRule>
  </conditionalFormatting>
  <conditionalFormatting sqref="C42:D43">
    <cfRule type="expression" dxfId="283" priority="17652" stopIfTrue="1">
      <formula>#REF!&lt;=20</formula>
    </cfRule>
    <cfRule type="expression" dxfId="282" priority="17648" stopIfTrue="1">
      <formula>AND(#REF!&gt;80%,#REF!&lt;=100%)</formula>
    </cfRule>
    <cfRule type="expression" dxfId="281" priority="17649" stopIfTrue="1">
      <formula>AND(#REF!&gt;60%,#REF!&lt;=80%)</formula>
    </cfRule>
    <cfRule type="expression" dxfId="280" priority="17650" stopIfTrue="1">
      <formula>AND(#REF!&gt;40%,#REF!&lt;=60%)</formula>
    </cfRule>
    <cfRule type="expression" dxfId="279" priority="17651" stopIfTrue="1">
      <formula>AND(#REF!&gt;20%,#REF!&lt;=40%)</formula>
    </cfRule>
  </conditionalFormatting>
  <conditionalFormatting sqref="D5">
    <cfRule type="expression" dxfId="278" priority="17659" stopIfTrue="1">
      <formula>AND(#REF!&gt;40%,#REF!&lt;=60%)</formula>
    </cfRule>
    <cfRule type="expression" dxfId="277" priority="17658" stopIfTrue="1">
      <formula>AND(#REF!&gt;60%,#REF!&lt;=80%)</formula>
    </cfRule>
    <cfRule type="expression" dxfId="276" priority="17660" stopIfTrue="1">
      <formula>AND(#REF!&gt;20%,#REF!&lt;=40%)</formula>
    </cfRule>
    <cfRule type="expression" dxfId="275" priority="17661" stopIfTrue="1">
      <formula>#REF!&lt;=20</formula>
    </cfRule>
  </conditionalFormatting>
  <conditionalFormatting sqref="D5:D7">
    <cfRule type="expression" dxfId="274" priority="17662" stopIfTrue="1">
      <formula>AND(#REF!&gt;80%,#REF!&lt;=100%)</formula>
    </cfRule>
  </conditionalFormatting>
  <conditionalFormatting sqref="D6:D7">
    <cfRule type="expression" dxfId="273" priority="17664" stopIfTrue="1">
      <formula>AND(#REF!&gt;60%,#REF!&lt;=80%)</formula>
    </cfRule>
    <cfRule type="expression" dxfId="272" priority="17665" stopIfTrue="1">
      <formula>AND(#REF!&gt;40%,#REF!&lt;=60%)</formula>
    </cfRule>
    <cfRule type="expression" dxfId="271" priority="17666" stopIfTrue="1">
      <formula>AND(#REF!&gt;20%,#REF!&lt;=40%)</formula>
    </cfRule>
    <cfRule type="expression" dxfId="270" priority="17667" stopIfTrue="1">
      <formula>#REF!&lt;=20</formula>
    </cfRule>
  </conditionalFormatting>
  <conditionalFormatting sqref="D10:D11">
    <cfRule type="expression" dxfId="269" priority="17673" stopIfTrue="1">
      <formula>AND(#REF!&gt;80%,#REF!&lt;=100%)</formula>
    </cfRule>
    <cfRule type="expression" dxfId="268" priority="17674" stopIfTrue="1">
      <formula>AND(#REF!&gt;60%,#REF!&lt;=80%)</formula>
    </cfRule>
    <cfRule type="expression" dxfId="267" priority="17675" stopIfTrue="1">
      <formula>AND(#REF!&gt;40%,#REF!&lt;=60%)</formula>
    </cfRule>
    <cfRule type="expression" dxfId="266" priority="17676" stopIfTrue="1">
      <formula>AND(#REF!&gt;20%,#REF!&lt;=40%)</formula>
    </cfRule>
    <cfRule type="expression" dxfId="265" priority="17677" stopIfTrue="1">
      <formula>#REF!&lt;=20</formula>
    </cfRule>
  </conditionalFormatting>
  <conditionalFormatting sqref="D14:D17">
    <cfRule type="expression" dxfId="264" priority="17683" stopIfTrue="1">
      <formula>AND(#REF!&gt;80%,#REF!&lt;=100%)</formula>
    </cfRule>
    <cfRule type="expression" dxfId="263" priority="17684" stopIfTrue="1">
      <formula>AND(#REF!&gt;60%,#REF!&lt;=80%)</formula>
    </cfRule>
    <cfRule type="expression" dxfId="262" priority="17685" stopIfTrue="1">
      <formula>AND(#REF!&gt;40%,#REF!&lt;=60%)</formula>
    </cfRule>
    <cfRule type="expression" dxfId="261" priority="17687" stopIfTrue="1">
      <formula>#REF!&lt;=20</formula>
    </cfRule>
    <cfRule type="expression" dxfId="260" priority="17686" stopIfTrue="1">
      <formula>AND(#REF!&gt;20%,#REF!&lt;=40%)</formula>
    </cfRule>
  </conditionalFormatting>
  <conditionalFormatting sqref="D19">
    <cfRule type="expression" dxfId="259" priority="17705" stopIfTrue="1">
      <formula>AND(#REF!&gt;40%,#REF!&lt;=60%)</formula>
    </cfRule>
    <cfRule type="expression" dxfId="258" priority="17703" stopIfTrue="1">
      <formula>AND(#REF!&gt;80%,#REF!&lt;=100%)</formula>
    </cfRule>
    <cfRule type="expression" dxfId="257" priority="17704" stopIfTrue="1">
      <formula>AND(#REF!&gt;60%,#REF!&lt;=80%)</formula>
    </cfRule>
    <cfRule type="expression" dxfId="256" priority="17706" stopIfTrue="1">
      <formula>AND(#REF!&gt;20%,#REF!&lt;=40%)</formula>
    </cfRule>
    <cfRule type="expression" dxfId="255" priority="17707" stopIfTrue="1">
      <formula>#REF!&lt;=20</formula>
    </cfRule>
  </conditionalFormatting>
  <conditionalFormatting sqref="D21">
    <cfRule type="expression" dxfId="254" priority="17708" stopIfTrue="1">
      <formula>AND(#REF!&gt;80%,#REF!&lt;=100%)</formula>
    </cfRule>
    <cfRule type="expression" dxfId="253" priority="17709" stopIfTrue="1">
      <formula>AND(#REF!&gt;60%,#REF!&lt;=80%)</formula>
    </cfRule>
    <cfRule type="expression" dxfId="252" priority="17710" stopIfTrue="1">
      <formula>AND(#REF!&gt;40%,#REF!&lt;=60%)</formula>
    </cfRule>
    <cfRule type="expression" dxfId="251" priority="17711" stopIfTrue="1">
      <formula>AND(#REF!&gt;20%,#REF!&lt;=40%)</formula>
    </cfRule>
    <cfRule type="expression" dxfId="250" priority="17712" stopIfTrue="1">
      <formula>#REF!&lt;=20</formula>
    </cfRule>
  </conditionalFormatting>
  <conditionalFormatting sqref="D23">
    <cfRule type="expression" dxfId="249" priority="17713" stopIfTrue="1">
      <formula>AND(#REF!&gt;80%,#REF!&lt;=100%)</formula>
    </cfRule>
    <cfRule type="expression" dxfId="248" priority="17714" stopIfTrue="1">
      <formula>AND(#REF!&gt;60%,#REF!&lt;=80%)</formula>
    </cfRule>
    <cfRule type="expression" dxfId="247" priority="17715" stopIfTrue="1">
      <formula>AND(#REF!&gt;40%,#REF!&lt;=60%)</formula>
    </cfRule>
    <cfRule type="expression" dxfId="246" priority="17716" stopIfTrue="1">
      <formula>AND(#REF!&gt;20%,#REF!&lt;=40%)</formula>
    </cfRule>
    <cfRule type="expression" dxfId="245" priority="17717" stopIfTrue="1">
      <formula>#REF!&lt;=20</formula>
    </cfRule>
  </conditionalFormatting>
  <conditionalFormatting sqref="D26:D27">
    <cfRule type="expression" dxfId="244" priority="17718" stopIfTrue="1">
      <formula>AND(#REF!&gt;80%,#REF!&lt;=100%)</formula>
    </cfRule>
    <cfRule type="expression" dxfId="243" priority="17719" stopIfTrue="1">
      <formula>AND(#REF!&gt;60%,#REF!&lt;=80%)</formula>
    </cfRule>
    <cfRule type="expression" dxfId="242" priority="17720" stopIfTrue="1">
      <formula>AND(#REF!&gt;40%,#REF!&lt;=60%)</formula>
    </cfRule>
    <cfRule type="expression" dxfId="241" priority="17721" stopIfTrue="1">
      <formula>AND(#REF!&gt;20%,#REF!&lt;=40%)</formula>
    </cfRule>
    <cfRule type="expression" dxfId="240" priority="17722" stopIfTrue="1">
      <formula>#REF!&lt;=20</formula>
    </cfRule>
  </conditionalFormatting>
  <conditionalFormatting sqref="D29">
    <cfRule type="expression" dxfId="239" priority="17728" stopIfTrue="1">
      <formula>AND(#REF!&gt;80%,#REF!&lt;=100%)</formula>
    </cfRule>
    <cfRule type="expression" dxfId="238" priority="17729" stopIfTrue="1">
      <formula>AND(#REF!&gt;60%,#REF!&lt;=80%)</formula>
    </cfRule>
    <cfRule type="expression" dxfId="237" priority="17730" stopIfTrue="1">
      <formula>AND(#REF!&gt;40%,#REF!&lt;=60%)</formula>
    </cfRule>
    <cfRule type="expression" dxfId="236" priority="17731" stopIfTrue="1">
      <formula>AND(#REF!&gt;20%,#REF!&lt;=40%)</formula>
    </cfRule>
    <cfRule type="expression" dxfId="235" priority="17732" stopIfTrue="1">
      <formula>#REF!&lt;=20</formula>
    </cfRule>
  </conditionalFormatting>
  <conditionalFormatting sqref="D31:D32">
    <cfRule type="expression" dxfId="234" priority="17733" stopIfTrue="1">
      <formula>AND(#REF!&gt;80%,#REF!&lt;=100%)</formula>
    </cfRule>
    <cfRule type="expression" dxfId="233" priority="17734" stopIfTrue="1">
      <formula>AND(#REF!&gt;60%,#REF!&lt;=80%)</formula>
    </cfRule>
    <cfRule type="expression" dxfId="232" priority="17735" stopIfTrue="1">
      <formula>AND(#REF!&gt;40%,#REF!&lt;=60%)</formula>
    </cfRule>
    <cfRule type="expression" dxfId="231" priority="17736" stopIfTrue="1">
      <formula>AND(#REF!&gt;20%,#REF!&lt;=40%)</formula>
    </cfRule>
    <cfRule type="expression" dxfId="230" priority="17737" stopIfTrue="1">
      <formula>#REF!&lt;=20</formula>
    </cfRule>
  </conditionalFormatting>
  <conditionalFormatting sqref="D34:D35">
    <cfRule type="expression" dxfId="229" priority="17743" stopIfTrue="1">
      <formula>AND(#REF!&gt;80%,#REF!&lt;=100%)</formula>
    </cfRule>
    <cfRule type="expression" dxfId="228" priority="17744" stopIfTrue="1">
      <formula>AND(#REF!&gt;60%,#REF!&lt;=80%)</formula>
    </cfRule>
    <cfRule type="expression" dxfId="227" priority="17745" stopIfTrue="1">
      <formula>AND(#REF!&gt;40%,#REF!&lt;=60%)</formula>
    </cfRule>
    <cfRule type="expression" dxfId="226" priority="17746" stopIfTrue="1">
      <formula>AND(#REF!&gt;20%,#REF!&lt;=40%)</formula>
    </cfRule>
    <cfRule type="expression" dxfId="225" priority="17747" stopIfTrue="1">
      <formula>#REF!&lt;=20</formula>
    </cfRule>
  </conditionalFormatting>
  <conditionalFormatting sqref="D37:E38">
    <cfRule type="expression" dxfId="224" priority="17754" stopIfTrue="1">
      <formula>AND(#REF!&gt;60%,#REF!&lt;=80%)</formula>
    </cfRule>
    <cfRule type="expression" dxfId="223" priority="17756" stopIfTrue="1">
      <formula>AND(#REF!&gt;20%,#REF!&lt;=40%)</formula>
    </cfRule>
    <cfRule type="expression" dxfId="222" priority="17753" stopIfTrue="1">
      <formula>AND(#REF!&gt;80%,#REF!&lt;=100%)</formula>
    </cfRule>
    <cfRule type="expression" dxfId="221" priority="17755" stopIfTrue="1">
      <formula>AND(#REF!&gt;40%,#REF!&lt;=60%)</formula>
    </cfRule>
    <cfRule type="expression" dxfId="220" priority="17757" stopIfTrue="1">
      <formula>#REF!&lt;=20</formula>
    </cfRule>
  </conditionalFormatting>
  <conditionalFormatting sqref="E4">
    <cfRule type="expression" dxfId="219" priority="17775" stopIfTrue="1">
      <formula>AND(#REF!&gt;40%,#REF!&lt;=60%)</formula>
    </cfRule>
    <cfRule type="expression" dxfId="218" priority="17773" stopIfTrue="1">
      <formula>AND(#REF!&gt;80%,#REF!&lt;=100%)</formula>
    </cfRule>
    <cfRule type="expression" dxfId="217" priority="17774" stopIfTrue="1">
      <formula>AND(#REF!&gt;60%,#REF!&lt;=80%)</formula>
    </cfRule>
    <cfRule type="expression" dxfId="216" priority="17776" stopIfTrue="1">
      <formula>AND(#REF!&gt;20%,#REF!&lt;=40%)</formula>
    </cfRule>
    <cfRule type="expression" dxfId="215" priority="17777" stopIfTrue="1">
      <formula>#REF!&lt;=20</formula>
    </cfRule>
  </conditionalFormatting>
  <conditionalFormatting sqref="E7:E9">
    <cfRule type="expression" dxfId="214" priority="17779" stopIfTrue="1">
      <formula>AND(#REF!&gt;60%,#REF!&lt;=80%)</formula>
    </cfRule>
    <cfRule type="expression" dxfId="213" priority="17778" stopIfTrue="1">
      <formula>AND(#REF!&gt;80%,#REF!&lt;=100%)</formula>
    </cfRule>
    <cfRule type="expression" dxfId="212" priority="17780" stopIfTrue="1">
      <formula>AND(#REF!&gt;40%,#REF!&lt;=60%)</formula>
    </cfRule>
    <cfRule type="expression" dxfId="211" priority="17781" stopIfTrue="1">
      <formula>AND(#REF!&gt;20%,#REF!&lt;=40%)</formula>
    </cfRule>
    <cfRule type="expression" dxfId="210" priority="17782" stopIfTrue="1">
      <formula>#REF!&lt;=20</formula>
    </cfRule>
  </conditionalFormatting>
  <conditionalFormatting sqref="E12:E17">
    <cfRule type="expression" dxfId="209" priority="17793" stopIfTrue="1">
      <formula>AND(#REF!&gt;80%,#REF!&lt;=100%)</formula>
    </cfRule>
    <cfRule type="expression" dxfId="208" priority="17794" stopIfTrue="1">
      <formula>AND(#REF!&gt;60%,#REF!&lt;=80%)</formula>
    </cfRule>
    <cfRule type="expression" dxfId="207" priority="17795" stopIfTrue="1">
      <formula>AND(#REF!&gt;40%,#REF!&lt;=60%)</formula>
    </cfRule>
    <cfRule type="expression" dxfId="206" priority="17796" stopIfTrue="1">
      <formula>AND(#REF!&gt;20%,#REF!&lt;=40%)</formula>
    </cfRule>
    <cfRule type="expression" dxfId="205" priority="17797" stopIfTrue="1">
      <formula>#REF!&lt;=20</formula>
    </cfRule>
  </conditionalFormatting>
  <conditionalFormatting sqref="E19:E21">
    <cfRule type="expression" dxfId="204" priority="17823" stopIfTrue="1">
      <formula>AND(#REF!&gt;80%,#REF!&lt;=100%)</formula>
    </cfRule>
    <cfRule type="expression" dxfId="203" priority="17824" stopIfTrue="1">
      <formula>AND(#REF!&gt;60%,#REF!&lt;=80%)</formula>
    </cfRule>
    <cfRule type="expression" dxfId="202" priority="17825" stopIfTrue="1">
      <formula>AND(#REF!&gt;40%,#REF!&lt;=60%)</formula>
    </cfRule>
    <cfRule type="expression" dxfId="201" priority="17826" stopIfTrue="1">
      <formula>AND(#REF!&gt;20%,#REF!&lt;=40%)</formula>
    </cfRule>
    <cfRule type="expression" dxfId="200" priority="17827" stopIfTrue="1">
      <formula>#REF!&lt;=20</formula>
    </cfRule>
  </conditionalFormatting>
  <conditionalFormatting sqref="E25">
    <cfRule type="expression" dxfId="199" priority="17852" stopIfTrue="1">
      <formula>#REF!&lt;=20</formula>
    </cfRule>
    <cfRule type="expression" dxfId="198" priority="17851" stopIfTrue="1">
      <formula>AND(#REF!&gt;20%,#REF!&lt;=40%)</formula>
    </cfRule>
    <cfRule type="expression" dxfId="197" priority="17850" stopIfTrue="1">
      <formula>AND(#REF!&gt;40%,#REF!&lt;=60%)</formula>
    </cfRule>
    <cfRule type="expression" dxfId="196" priority="17848" stopIfTrue="1">
      <formula>AND(#REF!&gt;80%,#REF!&lt;=100%)</formula>
    </cfRule>
    <cfRule type="expression" dxfId="195" priority="17849" stopIfTrue="1">
      <formula>AND(#REF!&gt;60%,#REF!&lt;=80%)</formula>
    </cfRule>
  </conditionalFormatting>
  <conditionalFormatting sqref="E27:E30">
    <cfRule type="expression" dxfId="194" priority="17853" stopIfTrue="1">
      <formula>AND(#REF!&gt;80%,#REF!&lt;=100%)</formula>
    </cfRule>
    <cfRule type="expression" dxfId="193" priority="17854" stopIfTrue="1">
      <formula>AND(#REF!&gt;60%,#REF!&lt;=80%)</formula>
    </cfRule>
    <cfRule type="expression" dxfId="192" priority="17855" stopIfTrue="1">
      <formula>AND(#REF!&gt;40%,#REF!&lt;=60%)</formula>
    </cfRule>
    <cfRule type="expression" dxfId="191" priority="17856" stopIfTrue="1">
      <formula>AND(#REF!&gt;20%,#REF!&lt;=40%)</formula>
    </cfRule>
    <cfRule type="expression" dxfId="190" priority="17857" stopIfTrue="1">
      <formula>#REF!&lt;=20</formula>
    </cfRule>
  </conditionalFormatting>
  <conditionalFormatting sqref="E33:E35">
    <cfRule type="expression" dxfId="189" priority="17873" stopIfTrue="1">
      <formula>AND(#REF!&gt;80%,#REF!&lt;=100%)</formula>
    </cfRule>
    <cfRule type="expression" dxfId="188" priority="17874" stopIfTrue="1">
      <formula>AND(#REF!&gt;60%,#REF!&lt;=80%)</formula>
    </cfRule>
    <cfRule type="expression" dxfId="187" priority="17875" stopIfTrue="1">
      <formula>AND(#REF!&gt;40%,#REF!&lt;=60%)</formula>
    </cfRule>
    <cfRule type="expression" dxfId="186" priority="17876" stopIfTrue="1">
      <formula>AND(#REF!&gt;20%,#REF!&lt;=40%)</formula>
    </cfRule>
    <cfRule type="expression" dxfId="185" priority="17877" stopIfTrue="1">
      <formula>#REF!&lt;=20</formula>
    </cfRule>
  </conditionalFormatting>
  <conditionalFormatting sqref="E22:F23">
    <cfRule type="expression" dxfId="184" priority="17838" stopIfTrue="1">
      <formula>AND(#REF!&gt;80%,#REF!&lt;=100%)</formula>
    </cfRule>
    <cfRule type="expression" dxfId="183" priority="17839" stopIfTrue="1">
      <formula>AND(#REF!&gt;60%,#REF!&lt;=80%)</formula>
    </cfRule>
    <cfRule type="expression" dxfId="182" priority="17840" stopIfTrue="1">
      <formula>AND(#REF!&gt;40%,#REF!&lt;=60%)</formula>
    </cfRule>
    <cfRule type="expression" dxfId="181" priority="17841" stopIfTrue="1">
      <formula>AND(#REF!&gt;20%,#REF!&lt;=40%)</formula>
    </cfRule>
    <cfRule type="expression" dxfId="180" priority="17842" stopIfTrue="1">
      <formula>#REF!&lt;=20</formula>
    </cfRule>
  </conditionalFormatting>
  <conditionalFormatting sqref="F4:F11">
    <cfRule type="expression" dxfId="179" priority="17898" stopIfTrue="1">
      <formula>AND(#REF!&gt;80%,#REF!&lt;=100%)</formula>
    </cfRule>
    <cfRule type="expression" dxfId="178" priority="17899" stopIfTrue="1">
      <formula>AND(#REF!&gt;60%,#REF!&lt;=80%)</formula>
    </cfRule>
    <cfRule type="expression" dxfId="177" priority="17900" stopIfTrue="1">
      <formula>AND(#REF!&gt;40%,#REF!&lt;=60%)</formula>
    </cfRule>
    <cfRule type="expression" dxfId="176" priority="17901" stopIfTrue="1">
      <formula>AND(#REF!&gt;20%,#REF!&lt;=40%)</formula>
    </cfRule>
    <cfRule type="expression" dxfId="175" priority="17902" stopIfTrue="1">
      <formula>#REF!&lt;=20</formula>
    </cfRule>
  </conditionalFormatting>
  <conditionalFormatting sqref="F13">
    <cfRule type="expression" dxfId="174" priority="17938" stopIfTrue="1">
      <formula>AND(#REF!&gt;80%,#REF!&lt;=100%)</formula>
    </cfRule>
    <cfRule type="expression" dxfId="173" priority="17939" stopIfTrue="1">
      <formula>AND(#REF!&gt;60%,#REF!&lt;=80%)</formula>
    </cfRule>
    <cfRule type="expression" dxfId="172" priority="17940" stopIfTrue="1">
      <formula>AND(#REF!&gt;40%,#REF!&lt;=60%)</formula>
    </cfRule>
    <cfRule type="expression" dxfId="171" priority="17941" stopIfTrue="1">
      <formula>AND(#REF!&gt;20%,#REF!&lt;=40%)</formula>
    </cfRule>
    <cfRule type="expression" dxfId="170" priority="17942" stopIfTrue="1">
      <formula>#REF!&lt;=20</formula>
    </cfRule>
  </conditionalFormatting>
  <conditionalFormatting sqref="F15:F16">
    <cfRule type="expression" dxfId="169" priority="17944" stopIfTrue="1">
      <formula>AND(#REF!&gt;60%,#REF!&lt;=80%)</formula>
    </cfRule>
    <cfRule type="expression" dxfId="168" priority="17943" stopIfTrue="1">
      <formula>AND(#REF!&gt;80%,#REF!&lt;=100%)</formula>
    </cfRule>
    <cfRule type="expression" dxfId="167" priority="17945" stopIfTrue="1">
      <formula>AND(#REF!&gt;40%,#REF!&lt;=60%)</formula>
    </cfRule>
    <cfRule type="expression" dxfId="166" priority="17946" stopIfTrue="1">
      <formula>AND(#REF!&gt;20%,#REF!&lt;=40%)</formula>
    </cfRule>
    <cfRule type="expression" dxfId="165" priority="17947" stopIfTrue="1">
      <formula>#REF!&lt;=20</formula>
    </cfRule>
  </conditionalFormatting>
  <conditionalFormatting sqref="F25:F33">
    <cfRule type="expression" dxfId="164" priority="17972" stopIfTrue="1">
      <formula>#REF!&lt;=20</formula>
    </cfRule>
    <cfRule type="expression" dxfId="163" priority="17968" stopIfTrue="1">
      <formula>AND(#REF!&gt;80%,#REF!&lt;=100%)</formula>
    </cfRule>
    <cfRule type="expression" dxfId="162" priority="17971" stopIfTrue="1">
      <formula>AND(#REF!&gt;20%,#REF!&lt;=40%)</formula>
    </cfRule>
    <cfRule type="expression" dxfId="161" priority="17970" stopIfTrue="1">
      <formula>AND(#REF!&gt;40%,#REF!&lt;=60%)</formula>
    </cfRule>
    <cfRule type="expression" dxfId="160" priority="17969" stopIfTrue="1">
      <formula>AND(#REF!&gt;60%,#REF!&lt;=80%)</formula>
    </cfRule>
  </conditionalFormatting>
  <conditionalFormatting sqref="F36:F38">
    <cfRule type="expression" dxfId="159" priority="18013" stopIfTrue="1">
      <formula>AND(#REF!&gt;80%,#REF!&lt;=100%)</formula>
    </cfRule>
    <cfRule type="expression" dxfId="158" priority="18014" stopIfTrue="1">
      <formula>AND(#REF!&gt;60%,#REF!&lt;=80%)</formula>
    </cfRule>
    <cfRule type="expression" dxfId="157" priority="18015" stopIfTrue="1">
      <formula>AND(#REF!&gt;40%,#REF!&lt;=60%)</formula>
    </cfRule>
    <cfRule type="expression" dxfId="156" priority="18016" stopIfTrue="1">
      <formula>AND(#REF!&gt;20%,#REF!&lt;=40%)</formula>
    </cfRule>
    <cfRule type="expression" dxfId="155" priority="18017" stopIfTrue="1">
      <formula>#REF!&lt;=20</formula>
    </cfRule>
  </conditionalFormatting>
  <conditionalFormatting sqref="F39:G43">
    <cfRule type="expression" dxfId="154" priority="18028" stopIfTrue="1">
      <formula>AND(#REF!&gt;80%,#REF!&lt;=100%)</formula>
    </cfRule>
    <cfRule type="expression" dxfId="153" priority="18029" stopIfTrue="1">
      <formula>AND(#REF!&gt;60%,#REF!&lt;=80%)</formula>
    </cfRule>
    <cfRule type="expression" dxfId="152" priority="18030" stopIfTrue="1">
      <formula>AND(#REF!&gt;40%,#REF!&lt;=60%)</formula>
    </cfRule>
    <cfRule type="expression" dxfId="151" priority="18031" stopIfTrue="1">
      <formula>AND(#REF!&gt;20%,#REF!&lt;=40%)</formula>
    </cfRule>
    <cfRule type="expression" dxfId="150" priority="18032" stopIfTrue="1">
      <formula>#REF!&lt;=20</formula>
    </cfRule>
  </conditionalFormatting>
  <conditionalFormatting sqref="F18:H18">
    <cfRule type="expression" dxfId="149" priority="17956" stopIfTrue="1">
      <formula>AND(#REF!&gt;20%,#REF!&lt;=40%)</formula>
    </cfRule>
    <cfRule type="expression" dxfId="148" priority="17953" stopIfTrue="1">
      <formula>AND(#REF!&gt;80%,#REF!&lt;=100%)</formula>
    </cfRule>
    <cfRule type="expression" dxfId="147" priority="17954" stopIfTrue="1">
      <formula>AND(#REF!&gt;60%,#REF!&lt;=80%)</formula>
    </cfRule>
    <cfRule type="expression" dxfId="146" priority="17955" stopIfTrue="1">
      <formula>AND(#REF!&gt;40%,#REF!&lt;=60%)</formula>
    </cfRule>
    <cfRule type="expression" dxfId="145" priority="17957" stopIfTrue="1">
      <formula>#REF!&lt;=20</formula>
    </cfRule>
  </conditionalFormatting>
  <conditionalFormatting sqref="G4:G5">
    <cfRule type="expression" dxfId="144" priority="17434" stopIfTrue="1">
      <formula>AND(#REF!&gt;40%,#REF!&lt;=60%)</formula>
    </cfRule>
    <cfRule type="expression" dxfId="143" priority="17435" stopIfTrue="1">
      <formula>AND(#REF!&gt;20%,#REF!&lt;=40%)</formula>
    </cfRule>
    <cfRule type="expression" dxfId="142" priority="17436" stopIfTrue="1">
      <formula>#REF!&lt;=20</formula>
    </cfRule>
    <cfRule type="expression" dxfId="141" priority="17432" stopIfTrue="1">
      <formula>AND(#REF!&gt;80%,#REF!&lt;=100%)</formula>
    </cfRule>
    <cfRule type="expression" dxfId="140" priority="17433" stopIfTrue="1">
      <formula>AND(#REF!&gt;60%,#REF!&lt;=80%)</formula>
    </cfRule>
  </conditionalFormatting>
  <conditionalFormatting sqref="G9:G15">
    <cfRule type="expression" dxfId="139" priority="18058" stopIfTrue="1">
      <formula>AND(#REF!&gt;80%,#REF!&lt;=100%)</formula>
    </cfRule>
    <cfRule type="expression" dxfId="138" priority="18059" stopIfTrue="1">
      <formula>AND(#REF!&gt;60%,#REF!&lt;=80%)</formula>
    </cfRule>
    <cfRule type="expression" dxfId="137" priority="18060" stopIfTrue="1">
      <formula>AND(#REF!&gt;40%,#REF!&lt;=60%)</formula>
    </cfRule>
    <cfRule type="expression" dxfId="136" priority="18061" stopIfTrue="1">
      <formula>AND(#REF!&gt;20%,#REF!&lt;=40%)</formula>
    </cfRule>
    <cfRule type="expression" dxfId="135" priority="18062" stopIfTrue="1">
      <formula>#REF!&lt;=20</formula>
    </cfRule>
  </conditionalFormatting>
  <conditionalFormatting sqref="G24:G26">
    <cfRule type="expression" dxfId="134" priority="18104" stopIfTrue="1">
      <formula>AND(#REF!&gt;60%,#REF!&lt;=80%)</formula>
    </cfRule>
    <cfRule type="expression" dxfId="133" priority="18103" stopIfTrue="1">
      <formula>AND(#REF!&gt;80%,#REF!&lt;=100%)</formula>
    </cfRule>
    <cfRule type="expression" dxfId="132" priority="18105" stopIfTrue="1">
      <formula>AND(#REF!&gt;40%,#REF!&lt;=60%)</formula>
    </cfRule>
    <cfRule type="expression" dxfId="131" priority="18106" stopIfTrue="1">
      <formula>AND(#REF!&gt;20%,#REF!&lt;=40%)</formula>
    </cfRule>
    <cfRule type="expression" dxfId="130" priority="18107" stopIfTrue="1">
      <formula>#REF!&lt;=20</formula>
    </cfRule>
  </conditionalFormatting>
  <conditionalFormatting sqref="G32:G34">
    <cfRule type="expression" dxfId="129" priority="18118" stopIfTrue="1">
      <formula>AND(#REF!&gt;80%,#REF!&lt;=100%)</formula>
    </cfRule>
    <cfRule type="expression" dxfId="128" priority="18119" stopIfTrue="1">
      <formula>AND(#REF!&gt;60%,#REF!&lt;=80%)</formula>
    </cfRule>
    <cfRule type="expression" dxfId="127" priority="18120" stopIfTrue="1">
      <formula>AND(#REF!&gt;40%,#REF!&lt;=60%)</formula>
    </cfRule>
    <cfRule type="expression" dxfId="126" priority="18121" stopIfTrue="1">
      <formula>AND(#REF!&gt;20%,#REF!&lt;=40%)</formula>
    </cfRule>
    <cfRule type="expression" dxfId="125" priority="18122" stopIfTrue="1">
      <formula>#REF!&lt;=20</formula>
    </cfRule>
  </conditionalFormatting>
  <conditionalFormatting sqref="G36">
    <cfRule type="expression" dxfId="124" priority="18137" stopIfTrue="1">
      <formula>#REF!&lt;=20</formula>
    </cfRule>
    <cfRule type="expression" dxfId="123" priority="18134" stopIfTrue="1">
      <formula>AND(#REF!&gt;60%,#REF!&lt;=80%)</formula>
    </cfRule>
    <cfRule type="expression" dxfId="122" priority="18133" stopIfTrue="1">
      <formula>AND(#REF!&gt;80%,#REF!&lt;=100%)</formula>
    </cfRule>
    <cfRule type="expression" dxfId="121" priority="18135" stopIfTrue="1">
      <formula>AND(#REF!&gt;40%,#REF!&lt;=60%)</formula>
    </cfRule>
    <cfRule type="expression" dxfId="120" priority="18136" stopIfTrue="1">
      <formula>AND(#REF!&gt;20%,#REF!&lt;=40%)</formula>
    </cfRule>
  </conditionalFormatting>
  <conditionalFormatting sqref="G20:H20">
    <cfRule type="expression" dxfId="119" priority="18101" stopIfTrue="1">
      <formula>AND(#REF!&gt;20%,#REF!&lt;=40%)</formula>
    </cfRule>
    <cfRule type="expression" dxfId="118" priority="18098" stopIfTrue="1">
      <formula>AND(#REF!&gt;80%,#REF!&lt;=100%)</formula>
    </cfRule>
    <cfRule type="expression" dxfId="117" priority="18102" stopIfTrue="1">
      <formula>#REF!&lt;=20</formula>
    </cfRule>
    <cfRule type="expression" dxfId="116" priority="18099" stopIfTrue="1">
      <formula>AND(#REF!&gt;60%,#REF!&lt;=80%)</formula>
    </cfRule>
    <cfRule type="expression" dxfId="115" priority="18100" stopIfTrue="1">
      <formula>AND(#REF!&gt;40%,#REF!&lt;=60%)</formula>
    </cfRule>
  </conditionalFormatting>
  <conditionalFormatting sqref="H5">
    <cfRule type="expression" dxfId="114" priority="18163" stopIfTrue="1">
      <formula>AND(#REF!&gt;80%,#REF!&lt;=100%)</formula>
    </cfRule>
    <cfRule type="expression" dxfId="113" priority="18164" stopIfTrue="1">
      <formula>AND(#REF!&gt;60%,#REF!&lt;=80%)</formula>
    </cfRule>
    <cfRule type="expression" dxfId="112" priority="18165" stopIfTrue="1">
      <formula>AND(#REF!&gt;40%,#REF!&lt;=60%)</formula>
    </cfRule>
    <cfRule type="expression" dxfId="111" priority="18166" stopIfTrue="1">
      <formula>AND(#REF!&gt;20%,#REF!&lt;=40%)</formula>
    </cfRule>
    <cfRule type="expression" dxfId="110" priority="18167" stopIfTrue="1">
      <formula>#REF!&lt;=20</formula>
    </cfRule>
  </conditionalFormatting>
  <conditionalFormatting sqref="H8">
    <cfRule type="expression" dxfId="109" priority="18168" stopIfTrue="1">
      <formula>AND(#REF!&gt;80%,#REF!&lt;=100%)</formula>
    </cfRule>
    <cfRule type="expression" dxfId="108" priority="18169" stopIfTrue="1">
      <formula>AND(#REF!&gt;60%,#REF!&lt;=80%)</formula>
    </cfRule>
    <cfRule type="expression" dxfId="107" priority="18170" stopIfTrue="1">
      <formula>AND(#REF!&gt;40%,#REF!&lt;=60%)</formula>
    </cfRule>
    <cfRule type="expression" dxfId="106" priority="18171" stopIfTrue="1">
      <formula>AND(#REF!&gt;20%,#REF!&lt;=40%)</formula>
    </cfRule>
    <cfRule type="expression" dxfId="105" priority="18172" stopIfTrue="1">
      <formula>#REF!&lt;=20</formula>
    </cfRule>
  </conditionalFormatting>
  <conditionalFormatting sqref="H11:H12">
    <cfRule type="expression" dxfId="104" priority="18173" stopIfTrue="1">
      <formula>AND(#REF!&gt;80%,#REF!&lt;=100%)</formula>
    </cfRule>
    <cfRule type="expression" dxfId="103" priority="18174" stopIfTrue="1">
      <formula>AND(#REF!&gt;60%,#REF!&lt;=80%)</formula>
    </cfRule>
    <cfRule type="expression" dxfId="102" priority="18175" stopIfTrue="1">
      <formula>AND(#REF!&gt;40%,#REF!&lt;=60%)</formula>
    </cfRule>
    <cfRule type="expression" dxfId="101" priority="18176" stopIfTrue="1">
      <formula>AND(#REF!&gt;20%,#REF!&lt;=40%)</formula>
    </cfRule>
    <cfRule type="expression" dxfId="100" priority="18177" stopIfTrue="1">
      <formula>#REF!&lt;=20</formula>
    </cfRule>
  </conditionalFormatting>
  <conditionalFormatting sqref="H16">
    <cfRule type="expression" dxfId="99" priority="18183" stopIfTrue="1">
      <formula>AND(#REF!&gt;80%,#REF!&lt;=100%)</formula>
    </cfRule>
    <cfRule type="expression" dxfId="98" priority="18184" stopIfTrue="1">
      <formula>AND(#REF!&gt;60%,#REF!&lt;=80%)</formula>
    </cfRule>
    <cfRule type="expression" dxfId="97" priority="18185" stopIfTrue="1">
      <formula>AND(#REF!&gt;40%,#REF!&lt;=60%)</formula>
    </cfRule>
    <cfRule type="expression" dxfId="96" priority="18186" stopIfTrue="1">
      <formula>AND(#REF!&gt;20%,#REF!&lt;=40%)</formula>
    </cfRule>
    <cfRule type="expression" dxfId="95" priority="18187" stopIfTrue="1">
      <formula>#REF!&lt;=20</formula>
    </cfRule>
  </conditionalFormatting>
  <conditionalFormatting sqref="H23">
    <cfRule type="expression" dxfId="94" priority="18198" stopIfTrue="1">
      <formula>AND(#REF!&gt;80%,#REF!&lt;=100%)</formula>
    </cfRule>
    <cfRule type="expression" dxfId="93" priority="18199" stopIfTrue="1">
      <formula>AND(#REF!&gt;60%,#REF!&lt;=80%)</formula>
    </cfRule>
    <cfRule type="expression" dxfId="92" priority="18200" stopIfTrue="1">
      <formula>AND(#REF!&gt;40%,#REF!&lt;=60%)</formula>
    </cfRule>
    <cfRule type="expression" dxfId="91" priority="18201" stopIfTrue="1">
      <formula>AND(#REF!&gt;20%,#REF!&lt;=40%)</formula>
    </cfRule>
    <cfRule type="expression" dxfId="90" priority="18202" stopIfTrue="1">
      <formula>#REF!&lt;=20</formula>
    </cfRule>
  </conditionalFormatting>
  <conditionalFormatting sqref="H28:H29">
    <cfRule type="expression" dxfId="89" priority="18210" stopIfTrue="1">
      <formula>AND(#REF!&gt;40%,#REF!&lt;=60%)</formula>
    </cfRule>
    <cfRule type="expression" dxfId="88" priority="18208" stopIfTrue="1">
      <formula>AND(#REF!&gt;80%,#REF!&lt;=100%)</formula>
    </cfRule>
    <cfRule type="expression" dxfId="87" priority="18211" stopIfTrue="1">
      <formula>AND(#REF!&gt;20%,#REF!&lt;=40%)</formula>
    </cfRule>
    <cfRule type="expression" dxfId="86" priority="18212" stopIfTrue="1">
      <formula>#REF!&lt;=20</formula>
    </cfRule>
    <cfRule type="expression" dxfId="85" priority="18209" stopIfTrue="1">
      <formula>AND(#REF!&gt;60%,#REF!&lt;=80%)</formula>
    </cfRule>
  </conditionalFormatting>
  <conditionalFormatting sqref="H31:H33">
    <cfRule type="expression" dxfId="84" priority="18218" stopIfTrue="1">
      <formula>AND(#REF!&gt;80%,#REF!&lt;=100%)</formula>
    </cfRule>
    <cfRule type="expression" dxfId="83" priority="18219" stopIfTrue="1">
      <formula>AND(#REF!&gt;60%,#REF!&lt;=80%)</formula>
    </cfRule>
    <cfRule type="expression" dxfId="82" priority="18220" stopIfTrue="1">
      <formula>AND(#REF!&gt;40%,#REF!&lt;=60%)</formula>
    </cfRule>
    <cfRule type="expression" dxfId="81" priority="18221" stopIfTrue="1">
      <formula>AND(#REF!&gt;20%,#REF!&lt;=40%)</formula>
    </cfRule>
    <cfRule type="expression" dxfId="80" priority="18222" stopIfTrue="1">
      <formula>#REF!&lt;=20</formula>
    </cfRule>
  </conditionalFormatting>
  <conditionalFormatting sqref="H35:H37">
    <cfRule type="expression" dxfId="79" priority="18233" stopIfTrue="1">
      <formula>AND(#REF!&gt;80%,#REF!&lt;=100%)</formula>
    </cfRule>
    <cfRule type="expression" dxfId="78" priority="18237" stopIfTrue="1">
      <formula>#REF!&lt;=20</formula>
    </cfRule>
    <cfRule type="expression" dxfId="77" priority="18234" stopIfTrue="1">
      <formula>AND(#REF!&gt;60%,#REF!&lt;=80%)</formula>
    </cfRule>
    <cfRule type="expression" dxfId="76" priority="18235" stopIfTrue="1">
      <formula>AND(#REF!&gt;40%,#REF!&lt;=60%)</formula>
    </cfRule>
    <cfRule type="expression" dxfId="75" priority="18236" stopIfTrue="1">
      <formula>AND(#REF!&gt;20%,#REF!&lt;=40%)</formula>
    </cfRule>
  </conditionalFormatting>
  <conditionalFormatting sqref="H24:I24">
    <cfRule type="expression" dxfId="74" priority="18203" stopIfTrue="1">
      <formula>AND(#REF!&gt;80%,#REF!&lt;=100%)</formula>
    </cfRule>
    <cfRule type="expression" dxfId="73" priority="18204" stopIfTrue="1">
      <formula>AND(#REF!&gt;60%,#REF!&lt;=80%)</formula>
    </cfRule>
    <cfRule type="expression" dxfId="72" priority="18205" stopIfTrue="1">
      <formula>AND(#REF!&gt;40%,#REF!&lt;=60%)</formula>
    </cfRule>
    <cfRule type="expression" dxfId="71" priority="18206" stopIfTrue="1">
      <formula>AND(#REF!&gt;20%,#REF!&lt;=40%)</formula>
    </cfRule>
    <cfRule type="expression" dxfId="70" priority="18207" stopIfTrue="1">
      <formula>#REF!&lt;=20</formula>
    </cfRule>
  </conditionalFormatting>
  <conditionalFormatting sqref="H39:I39">
    <cfRule type="expression" dxfId="69" priority="18248" stopIfTrue="1">
      <formula>AND(#REF!&gt;80%,#REF!&lt;=100%)</formula>
    </cfRule>
    <cfRule type="expression" dxfId="68" priority="18249" stopIfTrue="1">
      <formula>AND(#REF!&gt;60%,#REF!&lt;=80%)</formula>
    </cfRule>
    <cfRule type="expression" dxfId="67" priority="18250" stopIfTrue="1">
      <formula>AND(#REF!&gt;40%,#REF!&lt;=60%)</formula>
    </cfRule>
    <cfRule type="expression" dxfId="66" priority="18251" stopIfTrue="1">
      <formula>AND(#REF!&gt;20%,#REF!&lt;=40%)</formula>
    </cfRule>
    <cfRule type="expression" dxfId="65" priority="18252" stopIfTrue="1">
      <formula>#REF!&lt;=20</formula>
    </cfRule>
  </conditionalFormatting>
  <conditionalFormatting sqref="I4">
    <cfRule type="expression" dxfId="64" priority="18253" stopIfTrue="1">
      <formula>AND(#REF!&gt;80%,#REF!&lt;=100%)</formula>
    </cfRule>
    <cfRule type="expression" dxfId="63" priority="18254" stopIfTrue="1">
      <formula>AND(#REF!&gt;60%,#REF!&lt;=80%)</formula>
    </cfRule>
    <cfRule type="expression" dxfId="62" priority="18255" stopIfTrue="1">
      <formula>AND(#REF!&gt;40%,#REF!&lt;=60%)</formula>
    </cfRule>
    <cfRule type="expression" dxfId="61" priority="18256" stopIfTrue="1">
      <formula>AND(#REF!&gt;20%,#REF!&lt;=40%)</formula>
    </cfRule>
    <cfRule type="expression" dxfId="60" priority="18257" stopIfTrue="1">
      <formula>#REF!&lt;=20</formula>
    </cfRule>
  </conditionalFormatting>
  <conditionalFormatting sqref="I7:I10">
    <cfRule type="expression" dxfId="59" priority="18258" stopIfTrue="1">
      <formula>AND(#REF!&gt;80%,#REF!&lt;=100%)</formula>
    </cfRule>
    <cfRule type="expression" dxfId="58" priority="18259" stopIfTrue="1">
      <formula>AND(#REF!&gt;60%,#REF!&lt;=80%)</formula>
    </cfRule>
    <cfRule type="expression" dxfId="57" priority="18260" stopIfTrue="1">
      <formula>AND(#REF!&gt;40%,#REF!&lt;=60%)</formula>
    </cfRule>
    <cfRule type="expression" dxfId="56" priority="18261" stopIfTrue="1">
      <formula>AND(#REF!&gt;20%,#REF!&lt;=40%)</formula>
    </cfRule>
    <cfRule type="expression" dxfId="55" priority="18262" stopIfTrue="1">
      <formula>#REF!&lt;=20</formula>
    </cfRule>
  </conditionalFormatting>
  <conditionalFormatting sqref="I14">
    <cfRule type="expression" dxfId="54" priority="18278" stopIfTrue="1">
      <formula>AND(#REF!&gt;80%,#REF!&lt;=100%)</formula>
    </cfRule>
    <cfRule type="expression" dxfId="53" priority="18279" stopIfTrue="1">
      <formula>AND(#REF!&gt;60%,#REF!&lt;=80%)</formula>
    </cfRule>
    <cfRule type="expression" dxfId="52" priority="18280" stopIfTrue="1">
      <formula>AND(#REF!&gt;40%,#REF!&lt;=60%)</formula>
    </cfRule>
    <cfRule type="expression" dxfId="51" priority="18281" stopIfTrue="1">
      <formula>AND(#REF!&gt;20%,#REF!&lt;=40%)</formula>
    </cfRule>
    <cfRule type="expression" dxfId="50" priority="18282" stopIfTrue="1">
      <formula>#REF!&lt;=20</formula>
    </cfRule>
  </conditionalFormatting>
  <conditionalFormatting sqref="I18:I19">
    <cfRule type="expression" dxfId="49" priority="18283" stopIfTrue="1">
      <formula>AND(#REF!&gt;80%,#REF!&lt;=100%)</formula>
    </cfRule>
    <cfRule type="expression" dxfId="48" priority="18284" stopIfTrue="1">
      <formula>AND(#REF!&gt;60%,#REF!&lt;=80%)</formula>
    </cfRule>
    <cfRule type="expression" dxfId="47" priority="18285" stopIfTrue="1">
      <formula>AND(#REF!&gt;40%,#REF!&lt;=60%)</formula>
    </cfRule>
    <cfRule type="expression" dxfId="46" priority="18286" stopIfTrue="1">
      <formula>AND(#REF!&gt;20%,#REF!&lt;=40%)</formula>
    </cfRule>
    <cfRule type="expression" dxfId="45" priority="18287" stopIfTrue="1">
      <formula>#REF!&lt;=20</formula>
    </cfRule>
  </conditionalFormatting>
  <conditionalFormatting sqref="I21">
    <cfRule type="expression" dxfId="44" priority="18293" stopIfTrue="1">
      <formula>AND(#REF!&gt;80%,#REF!&lt;=100%)</formula>
    </cfRule>
    <cfRule type="expression" dxfId="43" priority="18294" stopIfTrue="1">
      <formula>AND(#REF!&gt;60%,#REF!&lt;=80%)</formula>
    </cfRule>
    <cfRule type="expression" dxfId="42" priority="18295" stopIfTrue="1">
      <formula>AND(#REF!&gt;40%,#REF!&lt;=60%)</formula>
    </cfRule>
    <cfRule type="expression" dxfId="41" priority="18296" stopIfTrue="1">
      <formula>AND(#REF!&gt;20%,#REF!&lt;=40%)</formula>
    </cfRule>
    <cfRule type="expression" dxfId="40" priority="18297" stopIfTrue="1">
      <formula>#REF!&lt;=20</formula>
    </cfRule>
  </conditionalFormatting>
  <conditionalFormatting sqref="I31">
    <cfRule type="expression" dxfId="39" priority="18303" stopIfTrue="1">
      <formula>AND(#REF!&gt;80%,#REF!&lt;=100%)</formula>
    </cfRule>
    <cfRule type="expression" dxfId="38" priority="18304" stopIfTrue="1">
      <formula>AND(#REF!&gt;60%,#REF!&lt;=80%)</formula>
    </cfRule>
    <cfRule type="expression" dxfId="37" priority="18305" stopIfTrue="1">
      <formula>AND(#REF!&gt;40%,#REF!&lt;=60%)</formula>
    </cfRule>
    <cfRule type="expression" dxfId="36" priority="18306" stopIfTrue="1">
      <formula>AND(#REF!&gt;20%,#REF!&lt;=40%)</formula>
    </cfRule>
    <cfRule type="expression" dxfId="35" priority="18307" stopIfTrue="1">
      <formula>#REF!&lt;=20</formula>
    </cfRule>
  </conditionalFormatting>
  <conditionalFormatting sqref="I34:I36">
    <cfRule type="expression" dxfId="34" priority="18129" stopIfTrue="1">
      <formula>AND(#REF!&gt;60%,#REF!&lt;=80%)</formula>
    </cfRule>
    <cfRule type="expression" dxfId="33" priority="18130" stopIfTrue="1">
      <formula>AND(#REF!&gt;40%,#REF!&lt;=60%)</formula>
    </cfRule>
    <cfRule type="expression" dxfId="32" priority="18131" stopIfTrue="1">
      <formula>AND(#REF!&gt;20%,#REF!&lt;=40%)</formula>
    </cfRule>
    <cfRule type="expression" dxfId="31" priority="18132" stopIfTrue="1">
      <formula>#REF!&lt;=20</formula>
    </cfRule>
    <cfRule type="expression" dxfId="30" priority="18128" stopIfTrue="1">
      <formula>AND(#REF!&gt;80%,#REF!&lt;=100%)</formula>
    </cfRule>
  </conditionalFormatting>
  <conditionalFormatting sqref="I41">
    <cfRule type="expression" dxfId="29" priority="18328" stopIfTrue="1">
      <formula>AND(#REF!&gt;80%,#REF!&lt;=100%)</formula>
    </cfRule>
    <cfRule type="expression" dxfId="28" priority="18329" stopIfTrue="1">
      <formula>AND(#REF!&gt;60%,#REF!&lt;=80%)</formula>
    </cfRule>
    <cfRule type="expression" dxfId="27" priority="18330" stopIfTrue="1">
      <formula>AND(#REF!&gt;40%,#REF!&lt;=60%)</formula>
    </cfRule>
    <cfRule type="expression" dxfId="26" priority="18331" stopIfTrue="1">
      <formula>AND(#REF!&gt;20%,#REF!&lt;=40%)</formula>
    </cfRule>
    <cfRule type="expression" dxfId="25" priority="18332" stopIfTrue="1">
      <formula>#REF!&lt;=20</formula>
    </cfRule>
  </conditionalFormatting>
  <conditionalFormatting sqref="J12:J13">
    <cfRule type="expression" dxfId="24" priority="18333" stopIfTrue="1">
      <formula>AND(#REF!&gt;80%,#REF!&lt;=100%)</formula>
    </cfRule>
    <cfRule type="expression" dxfId="23" priority="18334" stopIfTrue="1">
      <formula>AND(#REF!&gt;60%,#REF!&lt;=80%)</formula>
    </cfRule>
    <cfRule type="expression" dxfId="22" priority="18335" stopIfTrue="1">
      <formula>AND(#REF!&gt;40%,#REF!&lt;=60%)</formula>
    </cfRule>
    <cfRule type="expression" dxfId="21" priority="18336" stopIfTrue="1">
      <formula>AND(#REF!&gt;20%,#REF!&lt;=40%)</formula>
    </cfRule>
    <cfRule type="expression" dxfId="20" priority="18337" stopIfTrue="1">
      <formula>#REF!&lt;=20</formula>
    </cfRule>
  </conditionalFormatting>
  <conditionalFormatting sqref="J20">
    <cfRule type="expression" dxfId="19" priority="18343" stopIfTrue="1">
      <formula>AND(#REF!&gt;80%,#REF!&lt;=100%)</formula>
    </cfRule>
    <cfRule type="expression" dxfId="18" priority="18344" stopIfTrue="1">
      <formula>AND(#REF!&gt;60%,#REF!&lt;=80%)</formula>
    </cfRule>
    <cfRule type="expression" dxfId="17" priority="18345" stopIfTrue="1">
      <formula>AND(#REF!&gt;40%,#REF!&lt;=60%)</formula>
    </cfRule>
    <cfRule type="expression" dxfId="16" priority="18346" stopIfTrue="1">
      <formula>AND(#REF!&gt;20%,#REF!&lt;=40%)</formula>
    </cfRule>
    <cfRule type="expression" dxfId="15" priority="18347" stopIfTrue="1">
      <formula>#REF!&lt;=20</formula>
    </cfRule>
  </conditionalFormatting>
  <conditionalFormatting sqref="J24:J26">
    <cfRule type="expression" dxfId="14" priority="18348" stopIfTrue="1">
      <formula>AND(#REF!&gt;80%,#REF!&lt;=100%)</formula>
    </cfRule>
    <cfRule type="expression" dxfId="13" priority="18349" stopIfTrue="1">
      <formula>AND(#REF!&gt;60%,#REF!&lt;=80%)</formula>
    </cfRule>
    <cfRule type="expression" dxfId="12" priority="18350" stopIfTrue="1">
      <formula>AND(#REF!&gt;40%,#REF!&lt;=60%)</formula>
    </cfRule>
    <cfRule type="expression" dxfId="11" priority="18351" stopIfTrue="1">
      <formula>AND(#REF!&gt;20%,#REF!&lt;=40%)</formula>
    </cfRule>
    <cfRule type="expression" dxfId="10" priority="18352" stopIfTrue="1">
      <formula>#REF!&lt;=20</formula>
    </cfRule>
  </conditionalFormatting>
  <conditionalFormatting sqref="J38">
    <cfRule type="expression" dxfId="9" priority="18363" stopIfTrue="1">
      <formula>AND(#REF!&gt;80%,#REF!&lt;=100%)</formula>
    </cfRule>
    <cfRule type="expression" dxfId="8" priority="18364" stopIfTrue="1">
      <formula>AND(#REF!&gt;60%,#REF!&lt;=80%)</formula>
    </cfRule>
    <cfRule type="expression" dxfId="7" priority="18365" stopIfTrue="1">
      <formula>AND(#REF!&gt;40%,#REF!&lt;=60%)</formula>
    </cfRule>
    <cfRule type="expression" dxfId="6" priority="18366" stopIfTrue="1">
      <formula>AND(#REF!&gt;20%,#REF!&lt;=40%)</formula>
    </cfRule>
    <cfRule type="expression" dxfId="5" priority="18367" stopIfTrue="1">
      <formula>#REF!&lt;=20</formula>
    </cfRule>
  </conditionalFormatting>
  <conditionalFormatting sqref="J42">
    <cfRule type="expression" dxfId="4" priority="18368" stopIfTrue="1">
      <formula>AND(#REF!&gt;80%,#REF!&lt;=100%)</formula>
    </cfRule>
    <cfRule type="expression" dxfId="3" priority="18369" stopIfTrue="1">
      <formula>AND(#REF!&gt;60%,#REF!&lt;=80%)</formula>
    </cfRule>
    <cfRule type="expression" dxfId="2" priority="18370" stopIfTrue="1">
      <formula>AND(#REF!&gt;40%,#REF!&lt;=60%)</formula>
    </cfRule>
    <cfRule type="expression" dxfId="1" priority="18371" stopIfTrue="1">
      <formula>AND(#REF!&gt;20%,#REF!&lt;=40%)</formula>
    </cfRule>
    <cfRule type="expression" dxfId="0" priority="18372" stopIfTrue="1">
      <formula>#REF!&lt;=20</formula>
    </cfRule>
  </conditionalFormatting>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6">
    <tabColor rgb="FF92D050"/>
  </sheetPr>
  <dimension ref="B1:M178"/>
  <sheetViews>
    <sheetView topLeftCell="D1" zoomScale="70" zoomScaleNormal="70" workbookViewId="0">
      <pane ySplit="1" topLeftCell="A2" activePane="bottomLeft" state="frozen"/>
      <selection activeCell="C1" sqref="C1"/>
      <selection pane="bottomLeft" activeCell="B168" sqref="B168:H168"/>
    </sheetView>
  </sheetViews>
  <sheetFormatPr defaultColWidth="8.85546875" defaultRowHeight="16.5" x14ac:dyDescent="0.3"/>
  <cols>
    <col min="1" max="1" width="2.140625" style="2" customWidth="1"/>
    <col min="2" max="2" width="18.7109375" style="132" customWidth="1"/>
    <col min="3" max="3" width="13.85546875" style="2" customWidth="1"/>
    <col min="4" max="4" width="126.42578125" style="3" customWidth="1"/>
    <col min="5" max="5" width="11.28515625" style="2" customWidth="1"/>
    <col min="6" max="6" width="23.42578125" style="2" bestFit="1" customWidth="1"/>
    <col min="7" max="7" width="20.7109375" style="2" bestFit="1" customWidth="1"/>
    <col min="8" max="8" width="27" style="2" customWidth="1"/>
    <col min="9" max="9" width="19" style="2" hidden="1" customWidth="1"/>
    <col min="10" max="10" width="8.85546875" style="2"/>
    <col min="11" max="13" width="22.42578125" style="2" customWidth="1"/>
    <col min="14" max="16384" width="8.85546875" style="2"/>
  </cols>
  <sheetData>
    <row r="1" spans="2:13" ht="50.25" thickBot="1" x14ac:dyDescent="0.35">
      <c r="B1" s="135" t="s">
        <v>2020</v>
      </c>
      <c r="C1" s="117" t="s">
        <v>2021</v>
      </c>
      <c r="D1" s="118" t="s">
        <v>2022</v>
      </c>
      <c r="E1" s="117" t="s">
        <v>2023</v>
      </c>
      <c r="F1" s="136" t="s">
        <v>2024</v>
      </c>
      <c r="G1" s="119" t="s">
        <v>2025</v>
      </c>
      <c r="H1" s="120" t="s">
        <v>2026</v>
      </c>
      <c r="I1" s="121" t="s">
        <v>2030</v>
      </c>
      <c r="K1" s="117" t="s">
        <v>2013</v>
      </c>
      <c r="L1" s="136" t="s">
        <v>2014</v>
      </c>
      <c r="M1" s="122" t="s">
        <v>2015</v>
      </c>
    </row>
    <row r="2" spans="2:13" ht="17.25" thickBot="1" x14ac:dyDescent="0.35">
      <c r="B2" s="256" t="s">
        <v>643</v>
      </c>
      <c r="C2" s="257"/>
      <c r="D2" s="257"/>
      <c r="E2" s="257"/>
      <c r="F2" s="257"/>
      <c r="G2" s="257"/>
      <c r="H2" s="257"/>
      <c r="I2" s="258"/>
      <c r="K2" s="61">
        <f>COUNTA(G1:G235)</f>
        <v>125</v>
      </c>
      <c r="L2" s="61">
        <f>COUNTA(I1:I235)</f>
        <v>176</v>
      </c>
      <c r="M2" s="62">
        <f>(K2/L2)*100</f>
        <v>71.022727272727266</v>
      </c>
    </row>
    <row r="3" spans="2:13" ht="17.25" thickBot="1" x14ac:dyDescent="0.35">
      <c r="B3" s="259" t="s">
        <v>750</v>
      </c>
      <c r="C3" s="260"/>
      <c r="D3" s="260"/>
      <c r="E3" s="260"/>
      <c r="F3" s="260"/>
      <c r="G3" s="260"/>
      <c r="H3" s="260"/>
      <c r="I3" s="261"/>
    </row>
    <row r="4" spans="2:13" x14ac:dyDescent="0.3">
      <c r="B4" s="238" t="s">
        <v>751</v>
      </c>
      <c r="C4" s="85">
        <v>1</v>
      </c>
      <c r="D4" s="63" t="s">
        <v>752</v>
      </c>
      <c r="E4" s="80" t="s">
        <v>396</v>
      </c>
      <c r="F4" s="64" t="str">
        <f>'Practices and Requirements'!C315</f>
        <v>P-REQ-TM-3-2</v>
      </c>
      <c r="G4" s="64" t="str">
        <f>'Practices and Requirements'!E315</f>
        <v>To be filled</v>
      </c>
      <c r="H4" s="65">
        <f>'Practices and Requirements'!V315</f>
        <v>0</v>
      </c>
      <c r="I4" s="66">
        <v>0</v>
      </c>
    </row>
    <row r="5" spans="2:13" x14ac:dyDescent="0.3">
      <c r="B5" s="239"/>
      <c r="C5" s="83">
        <v>2</v>
      </c>
      <c r="D5" s="133" t="s">
        <v>753</v>
      </c>
      <c r="E5" s="81" t="s">
        <v>397</v>
      </c>
      <c r="F5" s="134" t="str">
        <f>'Practices and Requirements'!C401</f>
        <v>P-ROLE-RESP-2-4</v>
      </c>
      <c r="G5" s="134" t="str">
        <f>'Practices and Requirements'!E403</f>
        <v>To be filled</v>
      </c>
      <c r="H5" s="55">
        <f>'Practices and Requirements'!V403</f>
        <v>0</v>
      </c>
      <c r="I5" s="67">
        <v>0</v>
      </c>
    </row>
    <row r="6" spans="2:13" ht="17.25" thickBot="1" x14ac:dyDescent="0.35">
      <c r="B6" s="240"/>
      <c r="C6" s="84">
        <v>3</v>
      </c>
      <c r="D6" s="68" t="s">
        <v>754</v>
      </c>
      <c r="E6" s="82" t="s">
        <v>398</v>
      </c>
      <c r="F6" s="56" t="str">
        <f>'Practices and Requirements'!C403</f>
        <v>P-ROLE-RESP-3-2</v>
      </c>
      <c r="G6" s="56" t="str">
        <f>'Practices and Requirements'!E403</f>
        <v>To be filled</v>
      </c>
      <c r="H6" s="57">
        <f>'Practices and Requirements'!V404</f>
        <v>0</v>
      </c>
      <c r="I6" s="67">
        <v>0</v>
      </c>
    </row>
    <row r="7" spans="2:13" ht="33" x14ac:dyDescent="0.3">
      <c r="B7" s="238" t="s">
        <v>755</v>
      </c>
      <c r="C7" s="85">
        <v>1</v>
      </c>
      <c r="D7" s="63" t="s">
        <v>756</v>
      </c>
      <c r="E7" s="80" t="s">
        <v>353</v>
      </c>
      <c r="F7" s="64" t="str">
        <f>'Practices and Requirements'!C370</f>
        <v>P-MET-SET-2-1</v>
      </c>
      <c r="G7" s="64" t="str">
        <f>'Practices and Requirements'!E370</f>
        <v>To be filled</v>
      </c>
      <c r="H7" s="65">
        <f>'Practices and Requirements'!V370</f>
        <v>0</v>
      </c>
      <c r="I7" s="67">
        <v>0</v>
      </c>
    </row>
    <row r="8" spans="2:13" x14ac:dyDescent="0.3">
      <c r="B8" s="239"/>
      <c r="C8" s="83">
        <v>2</v>
      </c>
      <c r="D8" s="133" t="s">
        <v>757</v>
      </c>
      <c r="E8" s="81" t="s">
        <v>355</v>
      </c>
      <c r="F8" s="134" t="str">
        <f>'Practices and Requirements'!C371</f>
        <v>P-MET-SET-2-2</v>
      </c>
      <c r="G8" s="134" t="str">
        <f>'Practices and Requirements'!E371</f>
        <v>To be filled</v>
      </c>
      <c r="H8" s="55">
        <f>'Practices and Requirements'!V371</f>
        <v>0</v>
      </c>
      <c r="I8" s="67">
        <v>0</v>
      </c>
    </row>
    <row r="9" spans="2:13" x14ac:dyDescent="0.3">
      <c r="B9" s="239"/>
      <c r="C9" s="229">
        <v>3</v>
      </c>
      <c r="D9" s="231" t="s">
        <v>758</v>
      </c>
      <c r="E9" s="235" t="s">
        <v>361</v>
      </c>
      <c r="F9" s="134" t="s">
        <v>357</v>
      </c>
      <c r="G9" s="134" t="str">
        <f>'Practices and Requirements'!E373</f>
        <v>To be filled</v>
      </c>
      <c r="H9" s="55">
        <f>'Practices and Requirements'!V373</f>
        <v>0</v>
      </c>
      <c r="I9" s="67">
        <v>0</v>
      </c>
    </row>
    <row r="10" spans="2:13" ht="17.25" thickBot="1" x14ac:dyDescent="0.35">
      <c r="B10" s="240"/>
      <c r="C10" s="230"/>
      <c r="D10" s="232"/>
      <c r="E10" s="236"/>
      <c r="F10" s="56" t="str">
        <f>'Practices and Requirements'!C374</f>
        <v>P-MET-EX-0-1</v>
      </c>
      <c r="G10" s="56" t="str">
        <f>'Practices and Requirements'!E374</f>
        <v>To be filled</v>
      </c>
      <c r="H10" s="57">
        <f>'Practices and Requirements'!V374</f>
        <v>0</v>
      </c>
      <c r="I10" s="67">
        <v>0</v>
      </c>
    </row>
    <row r="11" spans="2:13" ht="17.25" thickBot="1" x14ac:dyDescent="0.35">
      <c r="B11" s="241" t="s">
        <v>650</v>
      </c>
      <c r="C11" s="242"/>
      <c r="D11" s="242"/>
      <c r="E11" s="242"/>
      <c r="F11" s="242"/>
      <c r="G11" s="242"/>
      <c r="H11" s="243"/>
      <c r="I11" s="67">
        <v>0</v>
      </c>
    </row>
    <row r="12" spans="2:13" x14ac:dyDescent="0.3">
      <c r="B12" s="238" t="s">
        <v>759</v>
      </c>
      <c r="C12" s="85">
        <v>1</v>
      </c>
      <c r="D12" s="63" t="s">
        <v>760</v>
      </c>
      <c r="E12" s="80" t="s">
        <v>399</v>
      </c>
      <c r="F12" s="64" t="str">
        <f>'Practices and Requirements'!C400</f>
        <v>P-ROLE-RESP-2-3</v>
      </c>
      <c r="G12" s="64" t="str">
        <f>'Practices and Requirements'!E400</f>
        <v>To be filled</v>
      </c>
      <c r="H12" s="65">
        <f>'Practices and Requirements'!V400</f>
        <v>0</v>
      </c>
      <c r="I12" s="67">
        <v>0</v>
      </c>
    </row>
    <row r="13" spans="2:13" x14ac:dyDescent="0.3">
      <c r="B13" s="239"/>
      <c r="C13" s="83">
        <v>2</v>
      </c>
      <c r="D13" s="133" t="s">
        <v>761</v>
      </c>
      <c r="E13" s="81" t="s">
        <v>400</v>
      </c>
      <c r="F13" s="134" t="str">
        <f>'Practices and Requirements'!C195</f>
        <v>T-PREPROD-SECTEST-2-1</v>
      </c>
      <c r="G13" s="134" t="str">
        <f>'Practices and Requirements'!E195</f>
        <v>To be filled</v>
      </c>
      <c r="H13" s="55">
        <f>'Practices and Requirements'!V195</f>
        <v>0</v>
      </c>
      <c r="I13" s="67">
        <v>0</v>
      </c>
    </row>
    <row r="14" spans="2:13" ht="33.75" thickBot="1" x14ac:dyDescent="0.35">
      <c r="B14" s="240"/>
      <c r="C14" s="84">
        <v>3</v>
      </c>
      <c r="D14" s="68" t="s">
        <v>762</v>
      </c>
      <c r="E14" s="82" t="s">
        <v>401</v>
      </c>
      <c r="F14" s="56" t="str">
        <f>'Practices and Requirements'!C279</f>
        <v>T-PROD-VULN-4-1</v>
      </c>
      <c r="G14" s="56" t="str">
        <f>'Practices and Requirements'!E279</f>
        <v>To be filled</v>
      </c>
      <c r="H14" s="57">
        <f>'Practices and Requirements'!V279</f>
        <v>0</v>
      </c>
      <c r="I14" s="67">
        <v>0</v>
      </c>
    </row>
    <row r="15" spans="2:13" x14ac:dyDescent="0.3">
      <c r="B15" s="238" t="s">
        <v>763</v>
      </c>
      <c r="C15" s="85">
        <v>1</v>
      </c>
      <c r="D15" s="63" t="s">
        <v>764</v>
      </c>
      <c r="E15" s="80" t="s">
        <v>879</v>
      </c>
      <c r="F15" s="154"/>
      <c r="G15" s="154"/>
      <c r="H15" s="65"/>
      <c r="I15" s="67">
        <v>0</v>
      </c>
    </row>
    <row r="16" spans="2:13" ht="33" x14ac:dyDescent="0.3">
      <c r="B16" s="239"/>
      <c r="C16" s="83">
        <v>2</v>
      </c>
      <c r="D16" s="133" t="s">
        <v>765</v>
      </c>
      <c r="E16" s="81" t="s">
        <v>880</v>
      </c>
      <c r="F16" s="155"/>
      <c r="G16" s="155"/>
      <c r="H16" s="55"/>
      <c r="I16" s="67">
        <v>0</v>
      </c>
    </row>
    <row r="17" spans="2:9" ht="28.35" customHeight="1" thickBot="1" x14ac:dyDescent="0.35">
      <c r="B17" s="240"/>
      <c r="C17" s="84">
        <v>3</v>
      </c>
      <c r="D17" s="68" t="s">
        <v>766</v>
      </c>
      <c r="E17" s="87" t="s">
        <v>881</v>
      </c>
      <c r="F17" s="156"/>
      <c r="G17" s="156"/>
      <c r="H17" s="57"/>
      <c r="I17" s="67">
        <v>0</v>
      </c>
    </row>
    <row r="18" spans="2:9" ht="17.25" thickBot="1" x14ac:dyDescent="0.35">
      <c r="B18" s="241" t="s">
        <v>767</v>
      </c>
      <c r="C18" s="242"/>
      <c r="D18" s="242"/>
      <c r="E18" s="242"/>
      <c r="F18" s="242"/>
      <c r="G18" s="242"/>
      <c r="H18" s="243"/>
      <c r="I18" s="67">
        <v>0</v>
      </c>
    </row>
    <row r="19" spans="2:9" x14ac:dyDescent="0.3">
      <c r="B19" s="262" t="s">
        <v>768</v>
      </c>
      <c r="C19" s="237">
        <v>1</v>
      </c>
      <c r="D19" s="247" t="s">
        <v>769</v>
      </c>
      <c r="E19" s="234" t="s">
        <v>709</v>
      </c>
      <c r="F19" s="64" t="str">
        <f>'Practices and Requirements'!C286</f>
        <v>P-EDU-AWR-0-1</v>
      </c>
      <c r="G19" s="64" t="str">
        <f>'Practices and Requirements'!E286</f>
        <v>To be filled</v>
      </c>
      <c r="H19" s="65">
        <f>'Practices and Requirements'!V286</f>
        <v>0</v>
      </c>
      <c r="I19" s="67">
        <v>0</v>
      </c>
    </row>
    <row r="20" spans="2:9" x14ac:dyDescent="0.3">
      <c r="B20" s="263"/>
      <c r="C20" s="229"/>
      <c r="D20" s="248"/>
      <c r="E20" s="235"/>
      <c r="F20" s="134" t="str">
        <f>'Practices and Requirements'!C287</f>
        <v>P-EDU-AWR-1-1</v>
      </c>
      <c r="G20" s="134" t="str">
        <f>'Practices and Requirements'!E287</f>
        <v>To be filled</v>
      </c>
      <c r="H20" s="55">
        <f>'Practices and Requirements'!V287</f>
        <v>0</v>
      </c>
      <c r="I20" s="67">
        <v>0</v>
      </c>
    </row>
    <row r="21" spans="2:9" x14ac:dyDescent="0.3">
      <c r="B21" s="263"/>
      <c r="C21" s="229">
        <v>2</v>
      </c>
      <c r="D21" s="248" t="s">
        <v>770</v>
      </c>
      <c r="E21" s="235" t="s">
        <v>708</v>
      </c>
      <c r="F21" s="134" t="str">
        <f>'Practices and Requirements'!C233</f>
        <v>T-PROD-PENTEST-4-2</v>
      </c>
      <c r="G21" s="134" t="str">
        <f>'Practices and Requirements'!E233</f>
        <v>To be filled</v>
      </c>
      <c r="H21" s="55">
        <f>'Practices and Requirements'!V233</f>
        <v>0</v>
      </c>
      <c r="I21" s="67">
        <v>0</v>
      </c>
    </row>
    <row r="22" spans="2:9" x14ac:dyDescent="0.3">
      <c r="B22" s="263"/>
      <c r="C22" s="229"/>
      <c r="D22" s="248"/>
      <c r="E22" s="235"/>
      <c r="F22" s="134" t="str">
        <f>'Practices and Requirements'!C291</f>
        <v>P-EDU-AWR-2-3</v>
      </c>
      <c r="G22" s="134" t="str">
        <f>'Practices and Requirements'!E291</f>
        <v>To be filled</v>
      </c>
      <c r="H22" s="55">
        <f>'Practices and Requirements'!V291</f>
        <v>0</v>
      </c>
      <c r="I22" s="67">
        <v>0</v>
      </c>
    </row>
    <row r="23" spans="2:9" x14ac:dyDescent="0.3">
      <c r="B23" s="263"/>
      <c r="C23" s="229"/>
      <c r="D23" s="248"/>
      <c r="E23" s="235"/>
      <c r="F23" s="134" t="str">
        <f>'Practices and Requirements'!C289</f>
        <v>P-EDU-AWR-2-1</v>
      </c>
      <c r="G23" s="134" t="str">
        <f>'Practices and Requirements'!E289</f>
        <v>To be filled</v>
      </c>
      <c r="H23" s="55">
        <f>'Practices and Requirements'!V289</f>
        <v>0</v>
      </c>
      <c r="I23" s="67">
        <v>0</v>
      </c>
    </row>
    <row r="24" spans="2:9" x14ac:dyDescent="0.3">
      <c r="B24" s="263"/>
      <c r="C24" s="229">
        <v>3</v>
      </c>
      <c r="D24" s="248" t="s">
        <v>771</v>
      </c>
      <c r="E24" s="235" t="s">
        <v>710</v>
      </c>
      <c r="F24" s="134" t="str">
        <f>'Practices and Requirements'!C289</f>
        <v>P-EDU-AWR-2-1</v>
      </c>
      <c r="G24" s="134" t="str">
        <f>'Practices and Requirements'!E289</f>
        <v>To be filled</v>
      </c>
      <c r="H24" s="55">
        <f>'Practices and Requirements'!V289</f>
        <v>0</v>
      </c>
      <c r="I24" s="67">
        <v>0</v>
      </c>
    </row>
    <row r="25" spans="2:9" ht="17.25" thickBot="1" x14ac:dyDescent="0.35">
      <c r="B25" s="264"/>
      <c r="C25" s="230"/>
      <c r="D25" s="249"/>
      <c r="E25" s="236"/>
      <c r="F25" s="56" t="str">
        <f>'Practices and Requirements'!C292</f>
        <v>P-EDU-AWR-2-4</v>
      </c>
      <c r="G25" s="56" t="str">
        <f>'Practices and Requirements'!E292</f>
        <v>To be filled</v>
      </c>
      <c r="H25" s="57">
        <f>'Practices and Requirements'!V292</f>
        <v>0</v>
      </c>
      <c r="I25" s="67">
        <v>0</v>
      </c>
    </row>
    <row r="26" spans="2:9" x14ac:dyDescent="0.3">
      <c r="B26" s="238" t="s">
        <v>772</v>
      </c>
      <c r="C26" s="237">
        <v>1</v>
      </c>
      <c r="D26" s="233" t="s">
        <v>773</v>
      </c>
      <c r="E26" s="234" t="s">
        <v>719</v>
      </c>
      <c r="F26" s="64" t="str">
        <f>'Practices and Requirements'!C383</f>
        <v>P-ROLE-SC-0-1</v>
      </c>
      <c r="G26" s="64" t="str">
        <f>'Practices and Requirements'!E383</f>
        <v>To be filled</v>
      </c>
      <c r="H26" s="65">
        <f>'Practices and Requirements'!V383</f>
        <v>0</v>
      </c>
      <c r="I26" s="67">
        <v>0</v>
      </c>
    </row>
    <row r="27" spans="2:9" x14ac:dyDescent="0.3">
      <c r="B27" s="239"/>
      <c r="C27" s="229"/>
      <c r="D27" s="231"/>
      <c r="E27" s="235"/>
      <c r="F27" s="134" t="str">
        <f>'Practices and Requirements'!C385</f>
        <v>P-ROLE-SC-2-1</v>
      </c>
      <c r="G27" s="134" t="str">
        <f>'Practices and Requirements'!E385</f>
        <v>To be filled</v>
      </c>
      <c r="H27" s="55">
        <f>'Practices and Requirements'!V385</f>
        <v>0</v>
      </c>
      <c r="I27" s="67">
        <v>0</v>
      </c>
    </row>
    <row r="28" spans="2:9" x14ac:dyDescent="0.3">
      <c r="B28" s="239"/>
      <c r="C28" s="229"/>
      <c r="D28" s="231"/>
      <c r="E28" s="235"/>
      <c r="F28" s="134" t="str">
        <f>'Practices and Requirements'!C389</f>
        <v>P-ROLE-SC-3-3</v>
      </c>
      <c r="G28" s="134" t="str">
        <f>'Practices and Requirements'!E389</f>
        <v>To be filled</v>
      </c>
      <c r="H28" s="55">
        <f>'Practices and Requirements'!V389</f>
        <v>0</v>
      </c>
      <c r="I28" s="67">
        <v>0</v>
      </c>
    </row>
    <row r="29" spans="2:9" x14ac:dyDescent="0.3">
      <c r="B29" s="239"/>
      <c r="C29" s="83">
        <v>2</v>
      </c>
      <c r="D29" s="133" t="s">
        <v>774</v>
      </c>
      <c r="E29" s="81" t="s">
        <v>721</v>
      </c>
      <c r="F29" s="134" t="str">
        <f>'Practices and Requirements'!C396</f>
        <v>P-ROLE-RESP-1-1</v>
      </c>
      <c r="G29" s="134" t="str">
        <f>'Practices and Requirements'!E396</f>
        <v>To be filled</v>
      </c>
      <c r="H29" s="55">
        <f>'Practices and Requirements'!V396</f>
        <v>0</v>
      </c>
      <c r="I29" s="67">
        <v>0</v>
      </c>
    </row>
    <row r="30" spans="2:9" x14ac:dyDescent="0.3">
      <c r="B30" s="239"/>
      <c r="C30" s="229">
        <v>3</v>
      </c>
      <c r="D30" s="231" t="s">
        <v>775</v>
      </c>
      <c r="E30" s="235" t="s">
        <v>711</v>
      </c>
      <c r="F30" s="134" t="str">
        <f>'Practices and Requirements'!C293</f>
        <v>P-EDU-AWR-3-1</v>
      </c>
      <c r="G30" s="134" t="str">
        <f>'Practices and Requirements'!E293</f>
        <v>To be filled</v>
      </c>
      <c r="H30" s="55">
        <f>'Practices and Requirements'!V293</f>
        <v>0</v>
      </c>
      <c r="I30" s="67">
        <v>0</v>
      </c>
    </row>
    <row r="31" spans="2:9" ht="17.25" thickBot="1" x14ac:dyDescent="0.35">
      <c r="B31" s="240"/>
      <c r="C31" s="230"/>
      <c r="D31" s="232"/>
      <c r="E31" s="236"/>
      <c r="F31" s="56" t="str">
        <f>'Practices and Requirements'!C296</f>
        <v>P-EDU-KB-0-1</v>
      </c>
      <c r="G31" s="56" t="str">
        <f>'Practices and Requirements'!E296</f>
        <v>To be filled</v>
      </c>
      <c r="H31" s="57">
        <f>'Practices and Requirements'!V296</f>
        <v>0</v>
      </c>
      <c r="I31" s="67">
        <v>0</v>
      </c>
    </row>
    <row r="32" spans="2:9" x14ac:dyDescent="0.3">
      <c r="B32" s="244" t="s">
        <v>644</v>
      </c>
      <c r="C32" s="245"/>
      <c r="D32" s="245"/>
      <c r="E32" s="245"/>
      <c r="F32" s="245"/>
      <c r="G32" s="245"/>
      <c r="H32" s="246"/>
      <c r="I32" s="67">
        <v>0</v>
      </c>
    </row>
    <row r="33" spans="2:9" ht="17.25" thickBot="1" x14ac:dyDescent="0.35">
      <c r="B33" s="241" t="s">
        <v>648</v>
      </c>
      <c r="C33" s="242"/>
      <c r="D33" s="242"/>
      <c r="E33" s="242"/>
      <c r="F33" s="242"/>
      <c r="G33" s="242"/>
      <c r="H33" s="243"/>
      <c r="I33" s="67">
        <v>0</v>
      </c>
    </row>
    <row r="34" spans="2:9" x14ac:dyDescent="0.3">
      <c r="B34" s="238" t="s">
        <v>776</v>
      </c>
      <c r="C34" s="237">
        <v>1</v>
      </c>
      <c r="D34" s="233" t="s">
        <v>777</v>
      </c>
      <c r="E34" s="234" t="s">
        <v>271</v>
      </c>
      <c r="F34" s="64" t="str">
        <f>'Practices and Requirements'!C309</f>
        <v>P-REQ-TM-1-2</v>
      </c>
      <c r="G34" s="64" t="str">
        <f>'Practices and Requirements'!E309</f>
        <v>To be filled</v>
      </c>
      <c r="H34" s="65">
        <f>'Practices and Requirements'!V309</f>
        <v>0</v>
      </c>
      <c r="I34" s="67">
        <v>0</v>
      </c>
    </row>
    <row r="35" spans="2:9" x14ac:dyDescent="0.3">
      <c r="B35" s="239"/>
      <c r="C35" s="229"/>
      <c r="D35" s="231"/>
      <c r="E35" s="235"/>
      <c r="F35" s="134" t="str">
        <f>'Practices and Requirements'!C310</f>
        <v>P-REQ-TM-1-3</v>
      </c>
      <c r="G35" s="134" t="str">
        <f>'Practices and Requirements'!E310</f>
        <v>To be filled</v>
      </c>
      <c r="H35" s="55">
        <f>'Practices and Requirements'!V310</f>
        <v>0</v>
      </c>
      <c r="I35" s="67">
        <v>0</v>
      </c>
    </row>
    <row r="36" spans="2:9" x14ac:dyDescent="0.3">
      <c r="B36" s="239"/>
      <c r="C36" s="83">
        <v>2</v>
      </c>
      <c r="D36" s="133" t="s">
        <v>778</v>
      </c>
      <c r="E36" s="81" t="s">
        <v>402</v>
      </c>
      <c r="F36" s="134" t="str">
        <f>'Practices and Requirements'!C313</f>
        <v>P-REQ-TM-2-3</v>
      </c>
      <c r="G36" s="134" t="str">
        <f>'Practices and Requirements'!E313</f>
        <v>To be filled</v>
      </c>
      <c r="H36" s="55">
        <f>'Practices and Requirements'!V313</f>
        <v>0</v>
      </c>
      <c r="I36" s="67">
        <v>0</v>
      </c>
    </row>
    <row r="37" spans="2:9" ht="17.25" thickBot="1" x14ac:dyDescent="0.35">
      <c r="B37" s="240"/>
      <c r="C37" s="84">
        <v>3</v>
      </c>
      <c r="D37" s="68" t="s">
        <v>779</v>
      </c>
      <c r="E37" s="82" t="s">
        <v>882</v>
      </c>
      <c r="F37" s="156"/>
      <c r="G37" s="156"/>
      <c r="H37" s="57"/>
      <c r="I37" s="67">
        <v>0</v>
      </c>
    </row>
    <row r="38" spans="2:9" x14ac:dyDescent="0.3">
      <c r="B38" s="238" t="s">
        <v>780</v>
      </c>
      <c r="C38" s="85">
        <v>1</v>
      </c>
      <c r="D38" s="63" t="s">
        <v>781</v>
      </c>
      <c r="E38" s="80" t="s">
        <v>370</v>
      </c>
      <c r="F38" s="64" t="str">
        <f>'Practices and Requirements'!C307</f>
        <v>P-REQ-TM-0-1</v>
      </c>
      <c r="G38" s="64" t="str">
        <f>'Practices and Requirements'!E307</f>
        <v>To be filled</v>
      </c>
      <c r="H38" s="65">
        <f>'Practices and Requirements'!V307</f>
        <v>0</v>
      </c>
      <c r="I38" s="67">
        <v>0</v>
      </c>
    </row>
    <row r="39" spans="2:9" x14ac:dyDescent="0.3">
      <c r="B39" s="239"/>
      <c r="C39" s="229">
        <v>2</v>
      </c>
      <c r="D39" s="231" t="s">
        <v>782</v>
      </c>
      <c r="E39" s="235" t="s">
        <v>403</v>
      </c>
      <c r="F39" s="134" t="str">
        <f>'Practices and Requirements'!C315</f>
        <v>P-REQ-TM-3-2</v>
      </c>
      <c r="G39" s="134" t="str">
        <f>'Practices and Requirements'!E315</f>
        <v>To be filled</v>
      </c>
      <c r="H39" s="55">
        <f>'Practices and Requirements'!V315</f>
        <v>0</v>
      </c>
      <c r="I39" s="67">
        <v>0</v>
      </c>
    </row>
    <row r="40" spans="2:9" x14ac:dyDescent="0.3">
      <c r="B40" s="239"/>
      <c r="C40" s="229"/>
      <c r="D40" s="231"/>
      <c r="E40" s="235"/>
      <c r="F40" s="134" t="str">
        <f>'Practices and Requirements'!C324</f>
        <v>P-REQ-RD-3-1</v>
      </c>
      <c r="G40" s="134" t="str">
        <f>'Practices and Requirements'!E324</f>
        <v>To be filled</v>
      </c>
      <c r="H40" s="55">
        <f>'Practices and Requirements'!V324</f>
        <v>0</v>
      </c>
      <c r="I40" s="67">
        <v>0</v>
      </c>
    </row>
    <row r="41" spans="2:9" ht="17.25" thickBot="1" x14ac:dyDescent="0.35">
      <c r="B41" s="240"/>
      <c r="C41" s="84">
        <v>3</v>
      </c>
      <c r="D41" s="68" t="s">
        <v>783</v>
      </c>
      <c r="E41" s="87" t="s">
        <v>712</v>
      </c>
      <c r="F41" s="56" t="str">
        <f>'Practices and Requirements'!C316</f>
        <v>P-REQ-TM-3-3</v>
      </c>
      <c r="G41" s="56" t="str">
        <f>'Practices and Requirements'!E316</f>
        <v>To be filled</v>
      </c>
      <c r="H41" s="57">
        <f>'Practices and Requirements'!V316</f>
        <v>0</v>
      </c>
      <c r="I41" s="67">
        <v>0</v>
      </c>
    </row>
    <row r="42" spans="2:9" ht="17.25" thickBot="1" x14ac:dyDescent="0.35">
      <c r="B42" s="241" t="s">
        <v>784</v>
      </c>
      <c r="C42" s="242"/>
      <c r="D42" s="242"/>
      <c r="E42" s="242"/>
      <c r="F42" s="242"/>
      <c r="G42" s="242"/>
      <c r="H42" s="243"/>
      <c r="I42" s="67">
        <v>0</v>
      </c>
    </row>
    <row r="43" spans="2:9" x14ac:dyDescent="0.3">
      <c r="B43" s="238" t="s">
        <v>785</v>
      </c>
      <c r="C43" s="85">
        <v>1</v>
      </c>
      <c r="D43" s="63" t="s">
        <v>786</v>
      </c>
      <c r="E43" s="80" t="s">
        <v>180</v>
      </c>
      <c r="F43" s="64" t="str">
        <f>'Practices and Requirements'!C318</f>
        <v>P-REQ-RD-0-1</v>
      </c>
      <c r="G43" s="64" t="str">
        <f>'Practices and Requirements'!E318</f>
        <v>To be filled</v>
      </c>
      <c r="H43" s="65">
        <f>'Practices and Requirements'!V318</f>
        <v>0</v>
      </c>
      <c r="I43" s="67">
        <v>0</v>
      </c>
    </row>
    <row r="44" spans="2:9" x14ac:dyDescent="0.3">
      <c r="B44" s="239"/>
      <c r="C44" s="229">
        <v>2</v>
      </c>
      <c r="D44" s="231" t="s">
        <v>787</v>
      </c>
      <c r="E44" s="235" t="s">
        <v>404</v>
      </c>
      <c r="F44" s="134" t="str">
        <f>'Practices and Requirements'!C319</f>
        <v>P-REQ-RD-1-1</v>
      </c>
      <c r="G44" s="134" t="str">
        <f>'Practices and Requirements'!E319</f>
        <v>To be filled</v>
      </c>
      <c r="H44" s="55">
        <f>'Practices and Requirements'!V319</f>
        <v>0</v>
      </c>
      <c r="I44" s="67">
        <v>0</v>
      </c>
    </row>
    <row r="45" spans="2:9" x14ac:dyDescent="0.3">
      <c r="B45" s="239"/>
      <c r="C45" s="229"/>
      <c r="D45" s="231"/>
      <c r="E45" s="235"/>
      <c r="F45" s="134" t="str">
        <f>'Practices and Requirements'!C320</f>
        <v>P-REQ-RD-1-2</v>
      </c>
      <c r="G45" s="134" t="str">
        <f>'Practices and Requirements'!E320</f>
        <v>To be filled</v>
      </c>
      <c r="H45" s="55">
        <f>'Practices and Requirements'!V320</f>
        <v>0</v>
      </c>
      <c r="I45" s="67">
        <v>0</v>
      </c>
    </row>
    <row r="46" spans="2:9" x14ac:dyDescent="0.3">
      <c r="B46" s="239"/>
      <c r="C46" s="229"/>
      <c r="D46" s="231"/>
      <c r="E46" s="235"/>
      <c r="F46" s="134" t="str">
        <f>'Practices and Requirements'!C322</f>
        <v>P-REQ-RD-2-2</v>
      </c>
      <c r="G46" s="134" t="str">
        <f>'Practices and Requirements'!E322</f>
        <v>To be filled</v>
      </c>
      <c r="H46" s="55">
        <f>'Practices and Requirements'!V322</f>
        <v>0</v>
      </c>
      <c r="I46" s="67">
        <v>0</v>
      </c>
    </row>
    <row r="47" spans="2:9" x14ac:dyDescent="0.3">
      <c r="B47" s="239"/>
      <c r="C47" s="229"/>
      <c r="D47" s="231"/>
      <c r="E47" s="235"/>
      <c r="F47" s="134" t="str">
        <f>'Practices and Requirements'!C328</f>
        <v>P-REQ-CR-0-1</v>
      </c>
      <c r="G47" s="134" t="str">
        <f>'Practices and Requirements'!E328</f>
        <v>To be filled</v>
      </c>
      <c r="H47" s="55">
        <f>'Practices and Requirements'!V328</f>
        <v>0</v>
      </c>
      <c r="I47" s="67">
        <v>0</v>
      </c>
    </row>
    <row r="48" spans="2:9" ht="17.25" thickBot="1" x14ac:dyDescent="0.35">
      <c r="B48" s="240"/>
      <c r="C48" s="84">
        <v>3</v>
      </c>
      <c r="D48" s="68" t="s">
        <v>788</v>
      </c>
      <c r="E48" s="82" t="s">
        <v>405</v>
      </c>
      <c r="F48" s="156"/>
      <c r="G48" s="156"/>
      <c r="H48" s="57"/>
      <c r="I48" s="67">
        <v>0</v>
      </c>
    </row>
    <row r="49" spans="2:9" x14ac:dyDescent="0.3">
      <c r="B49" s="238" t="s">
        <v>789</v>
      </c>
      <c r="C49" s="85">
        <v>1</v>
      </c>
      <c r="D49" s="63" t="s">
        <v>790</v>
      </c>
      <c r="E49" s="80" t="s">
        <v>406</v>
      </c>
      <c r="F49" s="154"/>
      <c r="G49" s="154"/>
      <c r="H49" s="65"/>
      <c r="I49" s="67">
        <v>0</v>
      </c>
    </row>
    <row r="50" spans="2:9" x14ac:dyDescent="0.3">
      <c r="B50" s="239"/>
      <c r="C50" s="83">
        <v>2</v>
      </c>
      <c r="D50" s="133" t="s">
        <v>791</v>
      </c>
      <c r="E50" s="81" t="s">
        <v>407</v>
      </c>
      <c r="F50" s="155"/>
      <c r="G50" s="155"/>
      <c r="H50" s="55"/>
      <c r="I50" s="67">
        <v>0</v>
      </c>
    </row>
    <row r="51" spans="2:9" ht="33.75" thickBot="1" x14ac:dyDescent="0.35">
      <c r="B51" s="240"/>
      <c r="C51" s="84">
        <v>3</v>
      </c>
      <c r="D51" s="68" t="s">
        <v>792</v>
      </c>
      <c r="E51" s="87" t="s">
        <v>408</v>
      </c>
      <c r="F51" s="156"/>
      <c r="G51" s="156"/>
      <c r="H51" s="57"/>
      <c r="I51" s="67">
        <v>0</v>
      </c>
    </row>
    <row r="52" spans="2:9" ht="17.25" thickBot="1" x14ac:dyDescent="0.35">
      <c r="B52" s="241" t="s">
        <v>793</v>
      </c>
      <c r="C52" s="242"/>
      <c r="D52" s="242"/>
      <c r="E52" s="242"/>
      <c r="F52" s="242"/>
      <c r="G52" s="242"/>
      <c r="H52" s="243"/>
      <c r="I52" s="67">
        <v>0</v>
      </c>
    </row>
    <row r="53" spans="2:9" x14ac:dyDescent="0.3">
      <c r="B53" s="238" t="s">
        <v>794</v>
      </c>
      <c r="C53" s="85">
        <v>1</v>
      </c>
      <c r="D53" s="63" t="s">
        <v>795</v>
      </c>
      <c r="E53" s="80" t="s">
        <v>306</v>
      </c>
      <c r="F53" s="64" t="str">
        <f>'Practices and Requirements'!C67</f>
        <v>T-DEV-SCM-2-5</v>
      </c>
      <c r="G53" s="64" t="str">
        <f>'Practices and Requirements'!E67</f>
        <v>To be filled</v>
      </c>
      <c r="H53" s="65">
        <f>'Practices and Requirements'!V67</f>
        <v>0</v>
      </c>
      <c r="I53" s="67">
        <v>0</v>
      </c>
    </row>
    <row r="54" spans="2:9" x14ac:dyDescent="0.3">
      <c r="B54" s="239"/>
      <c r="C54" s="83">
        <v>2</v>
      </c>
      <c r="D54" s="133" t="s">
        <v>796</v>
      </c>
      <c r="E54" s="81" t="s">
        <v>409</v>
      </c>
      <c r="F54" s="155"/>
      <c r="G54" s="155"/>
      <c r="H54" s="55"/>
      <c r="I54" s="67">
        <v>0</v>
      </c>
    </row>
    <row r="55" spans="2:9" ht="17.25" thickBot="1" x14ac:dyDescent="0.35">
      <c r="B55" s="240"/>
      <c r="C55" s="84">
        <v>3</v>
      </c>
      <c r="D55" s="68" t="s">
        <v>797</v>
      </c>
      <c r="E55" s="82" t="s">
        <v>410</v>
      </c>
      <c r="F55" s="56" t="str">
        <f>'Practices and Requirements'!C326</f>
        <v>P-REQ-RD-3-3</v>
      </c>
      <c r="G55" s="56" t="str">
        <f>'Practices and Requirements'!E326</f>
        <v>To be filled</v>
      </c>
      <c r="H55" s="57">
        <f>'Practices and Requirements'!V326</f>
        <v>0</v>
      </c>
      <c r="I55" s="67">
        <v>0</v>
      </c>
    </row>
    <row r="56" spans="2:9" x14ac:dyDescent="0.3">
      <c r="B56" s="238" t="s">
        <v>798</v>
      </c>
      <c r="C56" s="85">
        <v>1</v>
      </c>
      <c r="D56" s="63" t="s">
        <v>799</v>
      </c>
      <c r="E56" s="80" t="s">
        <v>411</v>
      </c>
      <c r="F56" s="64" t="str">
        <f>'Practices and Requirements'!C9</f>
        <v>T-ADI-DEP-1-5</v>
      </c>
      <c r="G56" s="64" t="str">
        <f>'Practices and Requirements'!E9</f>
        <v>To be filled</v>
      </c>
      <c r="H56" s="65">
        <f>'Practices and Requirements'!V9</f>
        <v>0</v>
      </c>
      <c r="I56" s="67">
        <v>0</v>
      </c>
    </row>
    <row r="57" spans="2:9" x14ac:dyDescent="0.3">
      <c r="B57" s="239"/>
      <c r="C57" s="83">
        <v>2</v>
      </c>
      <c r="D57" s="133" t="s">
        <v>800</v>
      </c>
      <c r="E57" s="81" t="s">
        <v>412</v>
      </c>
      <c r="F57" s="134" t="str">
        <f>'Practices and Requirements'!C17</f>
        <v>T-ADI-ART-0-1</v>
      </c>
      <c r="G57" s="134" t="str">
        <f>'Practices and Requirements'!E17</f>
        <v>To be filled</v>
      </c>
      <c r="H57" s="55">
        <f>'Practices and Requirements'!V17</f>
        <v>0</v>
      </c>
      <c r="I57" s="67">
        <v>0</v>
      </c>
    </row>
    <row r="58" spans="2:9" ht="17.25" thickBot="1" x14ac:dyDescent="0.35">
      <c r="B58" s="240"/>
      <c r="C58" s="84">
        <v>3</v>
      </c>
      <c r="D58" s="68" t="s">
        <v>801</v>
      </c>
      <c r="E58" s="87" t="s">
        <v>413</v>
      </c>
      <c r="F58" s="156"/>
      <c r="G58" s="156"/>
      <c r="H58" s="57"/>
      <c r="I58" s="67">
        <v>0</v>
      </c>
    </row>
    <row r="59" spans="2:9" ht="17.25" thickBot="1" x14ac:dyDescent="0.35">
      <c r="B59" s="250" t="s">
        <v>645</v>
      </c>
      <c r="C59" s="251"/>
      <c r="D59" s="251"/>
      <c r="E59" s="251"/>
      <c r="F59" s="251"/>
      <c r="G59" s="251"/>
      <c r="H59" s="252"/>
      <c r="I59" s="67">
        <v>0</v>
      </c>
    </row>
    <row r="60" spans="2:9" ht="17.25" thickBot="1" x14ac:dyDescent="0.35">
      <c r="B60" s="253" t="s">
        <v>649</v>
      </c>
      <c r="C60" s="254"/>
      <c r="D60" s="254"/>
      <c r="E60" s="254"/>
      <c r="F60" s="254"/>
      <c r="G60" s="254"/>
      <c r="H60" s="255"/>
      <c r="I60" s="67">
        <v>0</v>
      </c>
    </row>
    <row r="61" spans="2:9" x14ac:dyDescent="0.3">
      <c r="B61" s="239"/>
      <c r="C61" s="229">
        <v>1</v>
      </c>
      <c r="D61" s="231" t="s">
        <v>1359</v>
      </c>
      <c r="E61" s="235" t="s">
        <v>698</v>
      </c>
      <c r="F61" s="134" t="str">
        <f>'Practices and Requirements'!C45</f>
        <v>T-DEV-BLD-0-1</v>
      </c>
      <c r="G61" s="134" t="str">
        <f>'Practices and Requirements'!E45</f>
        <v>To be filled</v>
      </c>
      <c r="H61" s="55">
        <f>'Practices and Requirements'!V45</f>
        <v>0</v>
      </c>
      <c r="I61" s="67">
        <v>0</v>
      </c>
    </row>
    <row r="62" spans="2:9" x14ac:dyDescent="0.3">
      <c r="B62" s="239"/>
      <c r="C62" s="229"/>
      <c r="D62" s="231"/>
      <c r="E62" s="235"/>
      <c r="F62" s="134" t="str">
        <f>'Practices and Requirements'!C52</f>
        <v>T-DEV-BLD-3-2</v>
      </c>
      <c r="G62" s="134" t="str">
        <f>'Practices and Requirements'!E52</f>
        <v>To be filled</v>
      </c>
      <c r="H62" s="55">
        <f>'Practices and Requirements'!V52</f>
        <v>0</v>
      </c>
      <c r="I62" s="67">
        <v>0</v>
      </c>
    </row>
    <row r="63" spans="2:9" x14ac:dyDescent="0.3">
      <c r="B63" s="239"/>
      <c r="C63" s="229"/>
      <c r="D63" s="231"/>
      <c r="E63" s="235"/>
      <c r="F63" s="134" t="str">
        <f>'Practices and Requirements'!C95</f>
        <v>T-DEV-CICD-0-1</v>
      </c>
      <c r="G63" s="134" t="str">
        <f>'Practices and Requirements'!E95</f>
        <v>To be filled</v>
      </c>
      <c r="H63" s="55">
        <f>'Practices and Requirements'!V95</f>
        <v>0</v>
      </c>
      <c r="I63" s="67">
        <v>0</v>
      </c>
    </row>
    <row r="64" spans="2:9" x14ac:dyDescent="0.3">
      <c r="B64" s="239"/>
      <c r="C64" s="229"/>
      <c r="D64" s="231"/>
      <c r="E64" s="235"/>
      <c r="F64" s="134" t="str">
        <f>'Practices and Requirements'!C137</f>
        <v>T-CODE-SC-2-3</v>
      </c>
      <c r="G64" s="134" t="str">
        <f>'Practices and Requirements'!E137</f>
        <v>To be filled</v>
      </c>
      <c r="H64" s="55">
        <f>'Practices and Requirements'!V137</f>
        <v>0</v>
      </c>
      <c r="I64" s="67">
        <v>0</v>
      </c>
    </row>
    <row r="65" spans="2:11" x14ac:dyDescent="0.3">
      <c r="B65" s="239"/>
      <c r="C65" s="229">
        <v>2</v>
      </c>
      <c r="D65" s="231" t="s">
        <v>802</v>
      </c>
      <c r="E65" s="235" t="s">
        <v>680</v>
      </c>
      <c r="F65" s="134" t="str">
        <f>'Practices and Requirements'!C48</f>
        <v>T-DEV-BLD-1-3</v>
      </c>
      <c r="G65" s="134" t="str">
        <f>'Practices and Requirements'!E48</f>
        <v>To be filled</v>
      </c>
      <c r="H65" s="55">
        <f>'Practices and Requirements'!V48</f>
        <v>0</v>
      </c>
      <c r="I65" s="67">
        <v>0</v>
      </c>
    </row>
    <row r="66" spans="2:11" x14ac:dyDescent="0.3">
      <c r="B66" s="239"/>
      <c r="C66" s="229"/>
      <c r="D66" s="231"/>
      <c r="E66" s="235"/>
      <c r="F66" s="134" t="str">
        <f>'Practices and Requirements'!C52</f>
        <v>T-DEV-BLD-3-2</v>
      </c>
      <c r="G66" s="134" t="str">
        <f>'Practices and Requirements'!E52</f>
        <v>To be filled</v>
      </c>
      <c r="H66" s="55">
        <f>'Practices and Requirements'!V52</f>
        <v>0</v>
      </c>
      <c r="I66" s="67">
        <v>0</v>
      </c>
    </row>
    <row r="67" spans="2:11" x14ac:dyDescent="0.3">
      <c r="B67" s="239"/>
      <c r="C67" s="229">
        <v>3</v>
      </c>
      <c r="D67" s="231" t="s">
        <v>803</v>
      </c>
      <c r="E67" s="235" t="s">
        <v>681</v>
      </c>
      <c r="F67" s="134" t="str">
        <f>'Practices and Requirements'!C49</f>
        <v>T-DEV-BLD-1-4</v>
      </c>
      <c r="G67" s="134" t="str">
        <f>'Practices and Requirements'!E49</f>
        <v>To be filled</v>
      </c>
      <c r="H67" s="55">
        <f>'Practices and Requirements'!V49</f>
        <v>0</v>
      </c>
      <c r="I67" s="67">
        <v>0</v>
      </c>
    </row>
    <row r="68" spans="2:11" x14ac:dyDescent="0.3">
      <c r="B68" s="239"/>
      <c r="C68" s="229"/>
      <c r="D68" s="231"/>
      <c r="E68" s="235"/>
      <c r="F68" s="134" t="str">
        <f>'Practices and Requirements'!C331</f>
        <v>P-REQ-CR-3-1</v>
      </c>
      <c r="G68" s="134" t="str">
        <f>'Practices and Requirements'!E331</f>
        <v>To be filled</v>
      </c>
      <c r="H68" s="55">
        <f>'Practices and Requirements'!V331</f>
        <v>0</v>
      </c>
      <c r="I68" s="67">
        <v>0</v>
      </c>
    </row>
    <row r="69" spans="2:11" x14ac:dyDescent="0.3">
      <c r="B69" s="239"/>
      <c r="C69" s="229"/>
      <c r="D69" s="231"/>
      <c r="E69" s="235"/>
      <c r="F69" s="134" t="str">
        <f>'Practices and Requirements'!C357</f>
        <v>P-DEFECT-MNG-3-3</v>
      </c>
      <c r="G69" s="134" t="str">
        <f>'Practices and Requirements'!E357</f>
        <v>To be filled</v>
      </c>
      <c r="H69" s="55">
        <f>'Practices and Requirements'!V357</f>
        <v>0</v>
      </c>
      <c r="I69" s="67">
        <v>0</v>
      </c>
    </row>
    <row r="70" spans="2:11" ht="17.25" thickBot="1" x14ac:dyDescent="0.35">
      <c r="B70" s="240"/>
      <c r="C70" s="230"/>
      <c r="D70" s="232"/>
      <c r="E70" s="236"/>
      <c r="F70" s="56" t="str">
        <f>'Practices and Requirements'!C329</f>
        <v>P-REQ-CR-1-1</v>
      </c>
      <c r="G70" s="56" t="str">
        <f>'Practices and Requirements'!E329</f>
        <v>To be filled</v>
      </c>
      <c r="H70" s="57">
        <f>'Practices and Requirements'!V329</f>
        <v>0</v>
      </c>
      <c r="I70" s="67">
        <v>0</v>
      </c>
    </row>
    <row r="71" spans="2:11" x14ac:dyDescent="0.3">
      <c r="B71" s="238" t="s">
        <v>804</v>
      </c>
      <c r="C71" s="237">
        <v>1</v>
      </c>
      <c r="D71" s="233" t="s">
        <v>805</v>
      </c>
      <c r="E71" s="234" t="s">
        <v>13</v>
      </c>
      <c r="F71" s="64" t="str">
        <f>'Practices and Requirements'!C4</f>
        <v>T-ADI-DEP-0-1</v>
      </c>
      <c r="G71" s="64" t="str">
        <f>'Practices and Requirements'!E4</f>
        <v>To be filled</v>
      </c>
      <c r="H71" s="65">
        <f>'Practices and Requirements'!V4</f>
        <v>0</v>
      </c>
      <c r="I71" s="67">
        <v>0</v>
      </c>
    </row>
    <row r="72" spans="2:11" x14ac:dyDescent="0.3">
      <c r="B72" s="239"/>
      <c r="C72" s="229"/>
      <c r="D72" s="231"/>
      <c r="E72" s="235"/>
      <c r="F72" s="134" t="str">
        <f>'Practices and Requirements'!C12</f>
        <v>T-ADI-DEP-3-1</v>
      </c>
      <c r="G72" s="134" t="str">
        <f>'Practices and Requirements'!E12</f>
        <v>To be filled</v>
      </c>
      <c r="H72" s="55">
        <f>'Practices and Requirements'!V12</f>
        <v>0</v>
      </c>
      <c r="I72" s="67">
        <v>0</v>
      </c>
      <c r="K72" s="69"/>
    </row>
    <row r="73" spans="2:11" x14ac:dyDescent="0.3">
      <c r="B73" s="239"/>
      <c r="C73" s="229">
        <v>2</v>
      </c>
      <c r="D73" s="231" t="s">
        <v>806</v>
      </c>
      <c r="E73" s="235" t="s">
        <v>4</v>
      </c>
      <c r="F73" s="134" t="str">
        <f>'Practices and Requirements'!C5</f>
        <v>T-ADI-DEP-1-1</v>
      </c>
      <c r="G73" s="134" t="str">
        <f>'Practices and Requirements'!E5</f>
        <v>To be filled</v>
      </c>
      <c r="H73" s="55">
        <f>'Practices and Requirements'!V5</f>
        <v>0</v>
      </c>
      <c r="I73" s="67">
        <v>0</v>
      </c>
    </row>
    <row r="74" spans="2:11" x14ac:dyDescent="0.3">
      <c r="B74" s="239"/>
      <c r="C74" s="229"/>
      <c r="D74" s="231"/>
      <c r="E74" s="235"/>
      <c r="F74" s="134" t="str">
        <f>'Practices and Requirements'!C6</f>
        <v>T-ADI-DEP-1-2</v>
      </c>
      <c r="G74" s="134" t="str">
        <f>'Practices and Requirements'!E6</f>
        <v>To be filled</v>
      </c>
      <c r="H74" s="55">
        <f>'Practices and Requirements'!V6</f>
        <v>0</v>
      </c>
      <c r="I74" s="67">
        <v>0</v>
      </c>
    </row>
    <row r="75" spans="2:11" x14ac:dyDescent="0.3">
      <c r="B75" s="239"/>
      <c r="C75" s="229"/>
      <c r="D75" s="231"/>
      <c r="E75" s="235"/>
      <c r="F75" s="134" t="str">
        <f>'Practices and Requirements'!C11</f>
        <v>T-ADI-DEP-2-2</v>
      </c>
      <c r="G75" s="134" t="str">
        <f>'Practices and Requirements'!E11</f>
        <v>To be filled</v>
      </c>
      <c r="H75" s="55">
        <f>'Practices and Requirements'!V11</f>
        <v>0</v>
      </c>
      <c r="I75" s="67">
        <v>0</v>
      </c>
    </row>
    <row r="76" spans="2:11" x14ac:dyDescent="0.3">
      <c r="B76" s="239"/>
      <c r="C76" s="229"/>
      <c r="D76" s="231"/>
      <c r="E76" s="235"/>
      <c r="F76" s="134" t="str">
        <f>'Practices and Requirements'!C139</f>
        <v>T-CODE-SC-2-5</v>
      </c>
      <c r="G76" s="134" t="str">
        <f>'Practices and Requirements'!E139</f>
        <v>To be filled</v>
      </c>
      <c r="H76" s="55">
        <f>'Practices and Requirements'!V139</f>
        <v>0</v>
      </c>
      <c r="I76" s="67">
        <v>0</v>
      </c>
    </row>
    <row r="77" spans="2:11" ht="17.25" thickBot="1" x14ac:dyDescent="0.35">
      <c r="B77" s="239"/>
      <c r="C77" s="83">
        <v>3</v>
      </c>
      <c r="D77" s="133" t="s">
        <v>807</v>
      </c>
      <c r="E77" s="86" t="s">
        <v>679</v>
      </c>
      <c r="F77" s="134" t="str">
        <f>'Practices and Requirements'!C130</f>
        <v>T-CODE-SST-4-1</v>
      </c>
      <c r="G77" s="134" t="str">
        <f>'Practices and Requirements'!E130</f>
        <v>To be filled</v>
      </c>
      <c r="H77" s="55">
        <f>'Practices and Requirements'!V130</f>
        <v>0</v>
      </c>
      <c r="I77" s="67">
        <v>0</v>
      </c>
    </row>
    <row r="78" spans="2:11" ht="17.25" thickBot="1" x14ac:dyDescent="0.35">
      <c r="B78" s="253" t="s">
        <v>651</v>
      </c>
      <c r="C78" s="254"/>
      <c r="D78" s="254"/>
      <c r="E78" s="254"/>
      <c r="F78" s="254"/>
      <c r="G78" s="254"/>
      <c r="H78" s="255"/>
      <c r="I78" s="67">
        <v>0</v>
      </c>
    </row>
    <row r="79" spans="2:11" x14ac:dyDescent="0.3">
      <c r="B79" s="238" t="s">
        <v>808</v>
      </c>
      <c r="C79" s="85">
        <v>1</v>
      </c>
      <c r="D79" s="63" t="s">
        <v>809</v>
      </c>
      <c r="E79" s="80" t="s">
        <v>414</v>
      </c>
      <c r="F79" s="154"/>
      <c r="G79" s="154"/>
      <c r="H79" s="65"/>
      <c r="I79" s="67">
        <v>0</v>
      </c>
    </row>
    <row r="80" spans="2:11" x14ac:dyDescent="0.3">
      <c r="B80" s="239"/>
      <c r="C80" s="229">
        <v>2</v>
      </c>
      <c r="D80" s="231" t="s">
        <v>810</v>
      </c>
      <c r="E80" s="235" t="s">
        <v>415</v>
      </c>
      <c r="F80" s="134" t="str">
        <f>'Practices and Requirements'!C331</f>
        <v>P-REQ-CR-3-1</v>
      </c>
      <c r="G80" s="134" t="str">
        <f>'Practices and Requirements'!E331</f>
        <v>To be filled</v>
      </c>
      <c r="H80" s="55">
        <f>'Practices and Requirements'!V331</f>
        <v>0</v>
      </c>
      <c r="I80" s="67">
        <v>0</v>
      </c>
    </row>
    <row r="81" spans="2:9" x14ac:dyDescent="0.3">
      <c r="B81" s="239"/>
      <c r="C81" s="229"/>
      <c r="D81" s="231"/>
      <c r="E81" s="235"/>
      <c r="F81" s="134" t="str">
        <f>'Practices and Requirements'!C354</f>
        <v>P-DEFECT-MNG-2-2</v>
      </c>
      <c r="G81" s="134" t="str">
        <f>'Practices and Requirements'!E354</f>
        <v>To be filled</v>
      </c>
      <c r="H81" s="55">
        <f>'Practices and Requirements'!V354</f>
        <v>0</v>
      </c>
      <c r="I81" s="67">
        <v>0</v>
      </c>
    </row>
    <row r="82" spans="2:9" ht="17.25" thickBot="1" x14ac:dyDescent="0.35">
      <c r="B82" s="240"/>
      <c r="C82" s="84">
        <v>3</v>
      </c>
      <c r="D82" s="68" t="s">
        <v>811</v>
      </c>
      <c r="E82" s="82" t="s">
        <v>416</v>
      </c>
      <c r="F82" s="156"/>
      <c r="G82" s="156"/>
      <c r="H82" s="57"/>
      <c r="I82" s="67">
        <v>0</v>
      </c>
    </row>
    <row r="83" spans="2:9" x14ac:dyDescent="0.3">
      <c r="B83" s="238" t="s">
        <v>695</v>
      </c>
      <c r="C83" s="237">
        <v>1</v>
      </c>
      <c r="D83" s="233" t="s">
        <v>812</v>
      </c>
      <c r="E83" s="234" t="s">
        <v>682</v>
      </c>
      <c r="F83" s="64" t="str">
        <f>'Practices and Requirements'!C37</f>
        <v>T-DEV-SM-0-1</v>
      </c>
      <c r="G83" s="64" t="str">
        <f>'Practices and Requirements'!E37</f>
        <v>To be filled</v>
      </c>
      <c r="H83" s="65">
        <f>'Practices and Requirements'!V37</f>
        <v>0</v>
      </c>
      <c r="I83" s="67">
        <v>0</v>
      </c>
    </row>
    <row r="84" spans="2:9" x14ac:dyDescent="0.3">
      <c r="B84" s="239"/>
      <c r="C84" s="229"/>
      <c r="D84" s="231"/>
      <c r="E84" s="235"/>
      <c r="F84" s="134" t="str">
        <f>'Practices and Requirements'!C38</f>
        <v>T-DEV-SM-1-1</v>
      </c>
      <c r="G84" s="134" t="str">
        <f>'Practices and Requirements'!E38</f>
        <v>To be filled</v>
      </c>
      <c r="H84" s="55">
        <f>'Practices and Requirements'!V38</f>
        <v>0</v>
      </c>
      <c r="I84" s="67">
        <v>0</v>
      </c>
    </row>
    <row r="85" spans="2:9" x14ac:dyDescent="0.3">
      <c r="B85" s="239"/>
      <c r="C85" s="229"/>
      <c r="D85" s="231"/>
      <c r="E85" s="235"/>
      <c r="F85" s="134" t="str">
        <f>'Practices and Requirements'!C42</f>
        <v>T-DEV-SM-3-1</v>
      </c>
      <c r="G85" s="134" t="str">
        <f>'Practices and Requirements'!E42</f>
        <v>To be filled</v>
      </c>
      <c r="H85" s="55">
        <f>'Practices and Requirements'!V42</f>
        <v>0</v>
      </c>
      <c r="I85" s="67">
        <v>0</v>
      </c>
    </row>
    <row r="86" spans="2:9" x14ac:dyDescent="0.3">
      <c r="B86" s="239"/>
      <c r="C86" s="229">
        <v>2</v>
      </c>
      <c r="D86" s="231" t="s">
        <v>813</v>
      </c>
      <c r="E86" s="235" t="s">
        <v>690</v>
      </c>
      <c r="F86" s="134" t="str">
        <f>'Practices and Requirements'!C40</f>
        <v>T-DEV-SM-2-1</v>
      </c>
      <c r="G86" s="134" t="str">
        <f>'Practices and Requirements'!E40</f>
        <v>To be filled</v>
      </c>
      <c r="H86" s="55">
        <f>'Practices and Requirements'!V40</f>
        <v>0</v>
      </c>
      <c r="I86" s="67">
        <v>0</v>
      </c>
    </row>
    <row r="87" spans="2:9" x14ac:dyDescent="0.3">
      <c r="B87" s="239"/>
      <c r="C87" s="229"/>
      <c r="D87" s="231"/>
      <c r="E87" s="235"/>
      <c r="F87" s="134" t="str">
        <f>'Practices and Requirements'!C41</f>
        <v>T-DEV-SM-2-2</v>
      </c>
      <c r="G87" s="134" t="str">
        <f>'Practices and Requirements'!E41</f>
        <v>To be filled</v>
      </c>
      <c r="H87" s="55">
        <f>'Practices and Requirements'!V41</f>
        <v>0</v>
      </c>
      <c r="I87" s="67">
        <v>0</v>
      </c>
    </row>
    <row r="88" spans="2:9" x14ac:dyDescent="0.3">
      <c r="B88" s="239"/>
      <c r="C88" s="229"/>
      <c r="D88" s="231"/>
      <c r="E88" s="235"/>
      <c r="F88" s="134" t="str">
        <f>'Practices and Requirements'!C131</f>
        <v>T-CODE-SC-0-1</v>
      </c>
      <c r="G88" s="134" t="str">
        <f>'Practices and Requirements'!E131</f>
        <v>To be filled</v>
      </c>
      <c r="H88" s="55">
        <f>'Practices and Requirements'!V131</f>
        <v>0</v>
      </c>
      <c r="I88" s="67">
        <v>0</v>
      </c>
    </row>
    <row r="89" spans="2:9" x14ac:dyDescent="0.3">
      <c r="B89" s="239"/>
      <c r="C89" s="229"/>
      <c r="D89" s="231"/>
      <c r="E89" s="235"/>
      <c r="F89" s="134" t="str">
        <f>'Practices and Requirements'!C166</f>
        <v>T-CODE-SECDN-4-1</v>
      </c>
      <c r="G89" s="134" t="str">
        <f>'Practices and Requirements'!E166</f>
        <v>To be filled</v>
      </c>
      <c r="H89" s="55">
        <f>'Practices and Requirements'!V166</f>
        <v>0</v>
      </c>
      <c r="I89" s="67">
        <v>0</v>
      </c>
    </row>
    <row r="90" spans="2:9" ht="17.25" thickBot="1" x14ac:dyDescent="0.35">
      <c r="B90" s="240"/>
      <c r="C90" s="84">
        <v>3</v>
      </c>
      <c r="D90" s="68" t="s">
        <v>814</v>
      </c>
      <c r="E90" s="87" t="s">
        <v>683</v>
      </c>
      <c r="F90" s="56" t="str">
        <f>'Practices and Requirements'!C43</f>
        <v>T-DEV-SM-3-2</v>
      </c>
      <c r="G90" s="56" t="str">
        <f>'Practices and Requirements'!E43</f>
        <v>To be filled</v>
      </c>
      <c r="H90" s="57">
        <f>'Practices and Requirements'!V43</f>
        <v>0</v>
      </c>
      <c r="I90" s="67">
        <v>0</v>
      </c>
    </row>
    <row r="91" spans="2:9" ht="17.25" thickBot="1" x14ac:dyDescent="0.35">
      <c r="B91" s="241" t="s">
        <v>652</v>
      </c>
      <c r="C91" s="242"/>
      <c r="D91" s="242"/>
      <c r="E91" s="242"/>
      <c r="F91" s="242"/>
      <c r="G91" s="242"/>
      <c r="H91" s="243"/>
      <c r="I91" s="67">
        <v>0</v>
      </c>
    </row>
    <row r="92" spans="2:9" x14ac:dyDescent="0.3">
      <c r="B92" s="238" t="s">
        <v>815</v>
      </c>
      <c r="C92" s="85">
        <v>1</v>
      </c>
      <c r="D92" s="63" t="s">
        <v>816</v>
      </c>
      <c r="E92" s="80" t="s">
        <v>883</v>
      </c>
      <c r="F92" s="154"/>
      <c r="G92" s="154"/>
      <c r="H92" s="65"/>
      <c r="I92" s="67">
        <v>0</v>
      </c>
    </row>
    <row r="93" spans="2:9" x14ac:dyDescent="0.3">
      <c r="B93" s="239"/>
      <c r="C93" s="229">
        <v>2</v>
      </c>
      <c r="D93" s="231" t="s">
        <v>817</v>
      </c>
      <c r="E93" s="235" t="s">
        <v>702</v>
      </c>
      <c r="F93" s="134" t="str">
        <f>'Practices and Requirements'!C135</f>
        <v>T-CODE-SC-2-1</v>
      </c>
      <c r="G93" s="134" t="str">
        <f>'Practices and Requirements'!E135</f>
        <v>To be filled</v>
      </c>
      <c r="H93" s="55">
        <f>'Practices and Requirements'!V135</f>
        <v>0</v>
      </c>
      <c r="I93" s="67">
        <v>0</v>
      </c>
    </row>
    <row r="94" spans="2:9" x14ac:dyDescent="0.3">
      <c r="B94" s="239"/>
      <c r="C94" s="229"/>
      <c r="D94" s="231"/>
      <c r="E94" s="235"/>
      <c r="F94" s="134" t="str">
        <f>'Practices and Requirements'!C352</f>
        <v>P-DEFECT-MNG-1-1</v>
      </c>
      <c r="G94" s="134" t="str">
        <f>'Practices and Requirements'!E352</f>
        <v>To be filled</v>
      </c>
      <c r="H94" s="55">
        <f>'Practices and Requirements'!V352</f>
        <v>0</v>
      </c>
      <c r="I94" s="67">
        <v>0</v>
      </c>
    </row>
    <row r="95" spans="2:9" x14ac:dyDescent="0.3">
      <c r="B95" s="239"/>
      <c r="C95" s="229"/>
      <c r="D95" s="231"/>
      <c r="E95" s="235"/>
      <c r="F95" s="134" t="str">
        <f>'Practices and Requirements'!C353</f>
        <v>P-DEFECT-MNG-2-1</v>
      </c>
      <c r="G95" s="134" t="str">
        <f>'Practices and Requirements'!E353</f>
        <v>To be filled</v>
      </c>
      <c r="H95" s="55">
        <f>'Practices and Requirements'!V353</f>
        <v>0</v>
      </c>
      <c r="I95" s="67">
        <v>0</v>
      </c>
    </row>
    <row r="96" spans="2:9" x14ac:dyDescent="0.3">
      <c r="B96" s="239"/>
      <c r="C96" s="229"/>
      <c r="D96" s="231"/>
      <c r="E96" s="235"/>
      <c r="F96" s="134" t="str">
        <f>'Practices and Requirements'!C355</f>
        <v>P-DEFECT-MNG-3-1</v>
      </c>
      <c r="G96" s="134" t="str">
        <f>'Practices and Requirements'!E355</f>
        <v>To be filled</v>
      </c>
      <c r="H96" s="55">
        <f>'Practices and Requirements'!V355</f>
        <v>0</v>
      </c>
      <c r="I96" s="67">
        <v>0</v>
      </c>
    </row>
    <row r="97" spans="2:9" x14ac:dyDescent="0.3">
      <c r="B97" s="239"/>
      <c r="C97" s="229"/>
      <c r="D97" s="231"/>
      <c r="E97" s="235"/>
      <c r="F97" s="134" t="str">
        <f>'Practices and Requirements'!C358</f>
        <v>P-DEFECT-MNG-4-1</v>
      </c>
      <c r="G97" s="134" t="str">
        <f>'Practices and Requirements'!E358</f>
        <v>To be filled</v>
      </c>
      <c r="H97" s="55">
        <f>'Practices and Requirements'!V358</f>
        <v>0</v>
      </c>
      <c r="I97" s="67">
        <v>0</v>
      </c>
    </row>
    <row r="98" spans="2:9" x14ac:dyDescent="0.3">
      <c r="B98" s="239"/>
      <c r="C98" s="229"/>
      <c r="D98" s="231"/>
      <c r="E98" s="235"/>
      <c r="F98" s="134" t="str">
        <f>'Practices and Requirements'!C359</f>
        <v>P-DEFECT-CNS-0-1</v>
      </c>
      <c r="G98" s="134" t="str">
        <f>'Practices and Requirements'!E359</f>
        <v>To be filled</v>
      </c>
      <c r="H98" s="55">
        <f>'Practices and Requirements'!V359</f>
        <v>0</v>
      </c>
      <c r="I98" s="67">
        <v>0</v>
      </c>
    </row>
    <row r="99" spans="2:9" ht="17.25" thickBot="1" x14ac:dyDescent="0.35">
      <c r="B99" s="240"/>
      <c r="C99" s="84">
        <v>3</v>
      </c>
      <c r="D99" s="68" t="s">
        <v>818</v>
      </c>
      <c r="E99" s="82" t="s">
        <v>718</v>
      </c>
      <c r="F99" s="56" t="str">
        <f>'Practices and Requirements'!C356</f>
        <v>P-DEFECT-MNG-3-2</v>
      </c>
      <c r="G99" s="56" t="str">
        <f>'Practices and Requirements'!E356</f>
        <v>To be filled</v>
      </c>
      <c r="H99" s="57">
        <f>'Practices and Requirements'!V356</f>
        <v>0</v>
      </c>
      <c r="I99" s="67">
        <v>0</v>
      </c>
    </row>
    <row r="100" spans="2:9" x14ac:dyDescent="0.3">
      <c r="B100" s="238" t="s">
        <v>819</v>
      </c>
      <c r="C100" s="85">
        <v>1</v>
      </c>
      <c r="D100" s="63" t="s">
        <v>820</v>
      </c>
      <c r="E100" s="80" t="s">
        <v>884</v>
      </c>
      <c r="F100" s="154"/>
      <c r="G100" s="154"/>
      <c r="H100" s="65"/>
      <c r="I100" s="67">
        <v>0</v>
      </c>
    </row>
    <row r="101" spans="2:9" x14ac:dyDescent="0.3">
      <c r="B101" s="239"/>
      <c r="C101" s="83">
        <v>2</v>
      </c>
      <c r="D101" s="133" t="s">
        <v>821</v>
      </c>
      <c r="E101" s="81" t="s">
        <v>885</v>
      </c>
      <c r="F101" s="155"/>
      <c r="G101" s="155"/>
      <c r="H101" s="55"/>
      <c r="I101" s="67">
        <v>0</v>
      </c>
    </row>
    <row r="102" spans="2:9" ht="17.25" thickBot="1" x14ac:dyDescent="0.35">
      <c r="B102" s="240"/>
      <c r="C102" s="84">
        <v>3</v>
      </c>
      <c r="D102" s="68" t="s">
        <v>822</v>
      </c>
      <c r="E102" s="87" t="s">
        <v>886</v>
      </c>
      <c r="F102" s="156"/>
      <c r="G102" s="156"/>
      <c r="H102" s="57"/>
      <c r="I102" s="67">
        <v>0</v>
      </c>
    </row>
    <row r="103" spans="2:9" x14ac:dyDescent="0.3">
      <c r="B103" s="244" t="s">
        <v>646</v>
      </c>
      <c r="C103" s="245"/>
      <c r="D103" s="245"/>
      <c r="E103" s="245"/>
      <c r="F103" s="245"/>
      <c r="G103" s="245"/>
      <c r="H103" s="246"/>
      <c r="I103" s="67">
        <v>0</v>
      </c>
    </row>
    <row r="104" spans="2:9" ht="17.25" thickBot="1" x14ac:dyDescent="0.35">
      <c r="B104" s="241" t="s">
        <v>823</v>
      </c>
      <c r="C104" s="242"/>
      <c r="D104" s="242"/>
      <c r="E104" s="242"/>
      <c r="F104" s="242"/>
      <c r="G104" s="242"/>
      <c r="H104" s="243"/>
      <c r="I104" s="67">
        <v>0</v>
      </c>
    </row>
    <row r="105" spans="2:9" x14ac:dyDescent="0.3">
      <c r="B105" s="238" t="s">
        <v>824</v>
      </c>
      <c r="C105" s="85">
        <v>1</v>
      </c>
      <c r="D105" s="63" t="s">
        <v>825</v>
      </c>
      <c r="E105" s="80" t="s">
        <v>716</v>
      </c>
      <c r="F105" s="64" t="str">
        <f>'Practices and Requirements'!C332</f>
        <v>P-REQ-CR-4-1</v>
      </c>
      <c r="G105" s="64" t="str">
        <f>'Practices and Requirements'!E332</f>
        <v>To be filled</v>
      </c>
      <c r="H105" s="65">
        <f>'Practices and Requirements'!V332</f>
        <v>0</v>
      </c>
      <c r="I105" s="67">
        <v>0</v>
      </c>
    </row>
    <row r="106" spans="2:9" x14ac:dyDescent="0.3">
      <c r="B106" s="239"/>
      <c r="C106" s="83">
        <v>2</v>
      </c>
      <c r="D106" s="133" t="s">
        <v>826</v>
      </c>
      <c r="E106" s="81" t="s">
        <v>887</v>
      </c>
      <c r="F106" s="155"/>
      <c r="G106" s="155"/>
      <c r="H106" s="55"/>
      <c r="I106" s="67">
        <v>0</v>
      </c>
    </row>
    <row r="107" spans="2:9" ht="17.25" thickBot="1" x14ac:dyDescent="0.35">
      <c r="B107" s="240"/>
      <c r="C107" s="84">
        <v>3</v>
      </c>
      <c r="D107" s="68" t="s">
        <v>827</v>
      </c>
      <c r="E107" s="87" t="s">
        <v>888</v>
      </c>
      <c r="F107" s="156"/>
      <c r="G107" s="156"/>
      <c r="H107" s="57"/>
      <c r="I107" s="67">
        <v>0</v>
      </c>
    </row>
    <row r="108" spans="2:9" x14ac:dyDescent="0.3">
      <c r="B108" s="238" t="s">
        <v>828</v>
      </c>
      <c r="C108" s="85">
        <v>1</v>
      </c>
      <c r="D108" s="63" t="s">
        <v>829</v>
      </c>
      <c r="E108" s="80" t="s">
        <v>889</v>
      </c>
      <c r="F108" s="154"/>
      <c r="G108" s="154"/>
      <c r="H108" s="65"/>
      <c r="I108" s="67">
        <v>0</v>
      </c>
    </row>
    <row r="109" spans="2:9" x14ac:dyDescent="0.3">
      <c r="B109" s="239"/>
      <c r="C109" s="83">
        <v>2</v>
      </c>
      <c r="D109" s="133" t="s">
        <v>830</v>
      </c>
      <c r="E109" s="81" t="s">
        <v>890</v>
      </c>
      <c r="F109" s="155"/>
      <c r="G109" s="155"/>
      <c r="H109" s="55"/>
      <c r="I109" s="67">
        <v>0</v>
      </c>
    </row>
    <row r="110" spans="2:9" ht="17.25" thickBot="1" x14ac:dyDescent="0.35">
      <c r="B110" s="240"/>
      <c r="C110" s="84">
        <v>3</v>
      </c>
      <c r="D110" s="68" t="s">
        <v>831</v>
      </c>
      <c r="E110" s="87" t="s">
        <v>891</v>
      </c>
      <c r="F110" s="156"/>
      <c r="G110" s="156"/>
      <c r="H110" s="57"/>
      <c r="I110" s="67">
        <v>0</v>
      </c>
    </row>
    <row r="111" spans="2:9" ht="17.25" thickBot="1" x14ac:dyDescent="0.35">
      <c r="B111" s="241" t="s">
        <v>832</v>
      </c>
      <c r="C111" s="242"/>
      <c r="D111" s="242"/>
      <c r="E111" s="242"/>
      <c r="F111" s="242"/>
      <c r="G111" s="242"/>
      <c r="H111" s="243"/>
      <c r="I111" s="67">
        <v>0</v>
      </c>
    </row>
    <row r="112" spans="2:9" x14ac:dyDescent="0.3">
      <c r="B112" s="238" t="s">
        <v>833</v>
      </c>
      <c r="C112" s="237">
        <v>1</v>
      </c>
      <c r="D112" s="233" t="s">
        <v>834</v>
      </c>
      <c r="E112" s="234" t="s">
        <v>693</v>
      </c>
      <c r="F112" s="64" t="str">
        <f>'Practices and Requirements'!C194</f>
        <v>T-PREPROD-SECTEST-1-1</v>
      </c>
      <c r="G112" s="64" t="str">
        <f>'Practices and Requirements'!E194</f>
        <v>To be filled</v>
      </c>
      <c r="H112" s="65">
        <f>'Practices and Requirements'!V194</f>
        <v>0</v>
      </c>
      <c r="I112" s="67">
        <v>0</v>
      </c>
    </row>
    <row r="113" spans="2:9" x14ac:dyDescent="0.3">
      <c r="B113" s="239"/>
      <c r="C113" s="229"/>
      <c r="D113" s="231"/>
      <c r="E113" s="235"/>
      <c r="F113" s="134" t="str">
        <f>'Practices and Requirements'!C196</f>
        <v>T-PREPROD-SECTEST-2-2</v>
      </c>
      <c r="G113" s="134" t="str">
        <f>'Practices and Requirements'!E196</f>
        <v>To be filled</v>
      </c>
      <c r="H113" s="55">
        <f>'Practices and Requirements'!V196</f>
        <v>0</v>
      </c>
      <c r="I113" s="67">
        <v>0</v>
      </c>
    </row>
    <row r="114" spans="2:9" x14ac:dyDescent="0.3">
      <c r="B114" s="239"/>
      <c r="C114" s="83">
        <v>2</v>
      </c>
      <c r="D114" s="133" t="s">
        <v>835</v>
      </c>
      <c r="E114" s="81" t="s">
        <v>901</v>
      </c>
      <c r="F114" s="155"/>
      <c r="G114" s="155"/>
      <c r="H114" s="55"/>
      <c r="I114" s="67">
        <v>0</v>
      </c>
    </row>
    <row r="115" spans="2:9" x14ac:dyDescent="0.3">
      <c r="B115" s="239"/>
      <c r="C115" s="229">
        <v>3</v>
      </c>
      <c r="D115" s="231" t="s">
        <v>836</v>
      </c>
      <c r="E115" s="235" t="s">
        <v>701</v>
      </c>
      <c r="F115" s="134" t="str">
        <f>'Practices and Requirements'!C76</f>
        <v>T-DEV-SRC-0-1</v>
      </c>
      <c r="G115" s="134" t="str">
        <f>'Practices and Requirements'!E76</f>
        <v>To be filled</v>
      </c>
      <c r="H115" s="55">
        <f>'Practices and Requirements'!V76</f>
        <v>0</v>
      </c>
      <c r="I115" s="67">
        <v>0</v>
      </c>
    </row>
    <row r="116" spans="2:9" ht="17.25" thickBot="1" x14ac:dyDescent="0.35">
      <c r="B116" s="239"/>
      <c r="C116" s="229"/>
      <c r="D116" s="231"/>
      <c r="E116" s="236"/>
      <c r="F116" s="134" t="str">
        <f>'Practices and Requirements'!C197</f>
        <v>T-PREPROD-SECTEST-3-1</v>
      </c>
      <c r="G116" s="134" t="str">
        <f>'Practices and Requirements'!E197</f>
        <v>To be filled</v>
      </c>
      <c r="H116" s="55">
        <f>'Practices and Requirements'!V197</f>
        <v>0</v>
      </c>
      <c r="I116" s="67">
        <v>0</v>
      </c>
    </row>
    <row r="117" spans="2:9" x14ac:dyDescent="0.3">
      <c r="B117" s="238" t="s">
        <v>837</v>
      </c>
      <c r="C117" s="85">
        <v>1</v>
      </c>
      <c r="D117" s="63" t="s">
        <v>838</v>
      </c>
      <c r="E117" s="80" t="s">
        <v>902</v>
      </c>
      <c r="F117" s="154"/>
      <c r="G117" s="154"/>
      <c r="H117" s="65"/>
      <c r="I117" s="67">
        <v>0</v>
      </c>
    </row>
    <row r="118" spans="2:9" x14ac:dyDescent="0.3">
      <c r="B118" s="239"/>
      <c r="C118" s="229">
        <v>2</v>
      </c>
      <c r="D118" s="231" t="s">
        <v>839</v>
      </c>
      <c r="E118" s="235" t="s">
        <v>694</v>
      </c>
      <c r="F118" s="134" t="str">
        <f>'Practices and Requirements'!C182</f>
        <v>T-PREPROD-DAST-3-3</v>
      </c>
      <c r="G118" s="134" t="str">
        <f>'Practices and Requirements'!E182</f>
        <v>To be filled</v>
      </c>
      <c r="H118" s="55">
        <f>'Practices and Requirements'!V182</f>
        <v>0</v>
      </c>
      <c r="I118" s="67">
        <v>0</v>
      </c>
    </row>
    <row r="119" spans="2:9" x14ac:dyDescent="0.3">
      <c r="B119" s="239"/>
      <c r="C119" s="229"/>
      <c r="D119" s="231"/>
      <c r="E119" s="235"/>
      <c r="F119" s="134" t="str">
        <f>'Practices and Requirements'!C317</f>
        <v>P-REQ-TM-4-1</v>
      </c>
      <c r="G119" s="134" t="str">
        <f>'Practices and Requirements'!E317</f>
        <v>To be filled</v>
      </c>
      <c r="H119" s="55">
        <f>'Practices and Requirements'!V317</f>
        <v>0</v>
      </c>
      <c r="I119" s="67">
        <v>0</v>
      </c>
    </row>
    <row r="120" spans="2:9" x14ac:dyDescent="0.3">
      <c r="B120" s="239"/>
      <c r="C120" s="229"/>
      <c r="D120" s="231"/>
      <c r="E120" s="235"/>
      <c r="F120" s="134" t="str">
        <f>'Practices and Requirements'!C330</f>
        <v>P-REQ-CR-2-1</v>
      </c>
      <c r="G120" s="134" t="str">
        <f>'Practices and Requirements'!E330</f>
        <v>To be filled</v>
      </c>
      <c r="H120" s="55">
        <f>'Practices and Requirements'!V330</f>
        <v>0</v>
      </c>
      <c r="I120" s="67">
        <v>0</v>
      </c>
    </row>
    <row r="121" spans="2:9" ht="17.25" thickBot="1" x14ac:dyDescent="0.35">
      <c r="B121" s="240"/>
      <c r="C121" s="84">
        <v>3</v>
      </c>
      <c r="D121" s="68" t="s">
        <v>840</v>
      </c>
      <c r="E121" s="87" t="s">
        <v>903</v>
      </c>
      <c r="F121" s="156"/>
      <c r="G121" s="156"/>
      <c r="H121" s="57"/>
      <c r="I121" s="67">
        <v>0</v>
      </c>
    </row>
    <row r="122" spans="2:9" ht="17.25" thickBot="1" x14ac:dyDescent="0.35">
      <c r="B122" s="241" t="s">
        <v>653</v>
      </c>
      <c r="C122" s="242"/>
      <c r="D122" s="242"/>
      <c r="E122" s="242"/>
      <c r="F122" s="242"/>
      <c r="G122" s="242"/>
      <c r="H122" s="243"/>
      <c r="I122" s="67">
        <v>0</v>
      </c>
    </row>
    <row r="123" spans="2:9" x14ac:dyDescent="0.3">
      <c r="B123" s="238" t="s">
        <v>841</v>
      </c>
      <c r="C123" s="237">
        <v>1</v>
      </c>
      <c r="D123" s="233" t="s">
        <v>842</v>
      </c>
      <c r="E123" s="234" t="s">
        <v>685</v>
      </c>
      <c r="F123" s="64" t="str">
        <f>'Practices and Requirements'!C120</f>
        <v>T-CODE-SST-0-1</v>
      </c>
      <c r="G123" s="64" t="str">
        <f>'Practices and Requirements'!E120</f>
        <v>To be filled</v>
      </c>
      <c r="H123" s="65">
        <f>'Practices and Requirements'!V120</f>
        <v>0</v>
      </c>
      <c r="I123" s="67">
        <v>0</v>
      </c>
    </row>
    <row r="124" spans="2:9" x14ac:dyDescent="0.3">
      <c r="B124" s="239"/>
      <c r="C124" s="229"/>
      <c r="D124" s="231"/>
      <c r="E124" s="235"/>
      <c r="F124" s="134" t="str">
        <f>'Practices and Requirements'!C121</f>
        <v>T-CODE-SST-1-1</v>
      </c>
      <c r="G124" s="134" t="str">
        <f>'Practices and Requirements'!E121</f>
        <v>To be filled</v>
      </c>
      <c r="H124" s="55">
        <f>'Practices and Requirements'!V121</f>
        <v>0</v>
      </c>
      <c r="I124" s="67">
        <v>0</v>
      </c>
    </row>
    <row r="125" spans="2:9" x14ac:dyDescent="0.3">
      <c r="B125" s="239"/>
      <c r="C125" s="229"/>
      <c r="D125" s="231"/>
      <c r="E125" s="235"/>
      <c r="F125" s="134" t="str">
        <f>'Practices and Requirements'!C122</f>
        <v>T-CODE-SST-1-2</v>
      </c>
      <c r="G125" s="134" t="str">
        <f>'Practices and Requirements'!E122</f>
        <v>To be filled</v>
      </c>
      <c r="H125" s="55">
        <f>'Practices and Requirements'!V122</f>
        <v>0</v>
      </c>
      <c r="I125" s="67">
        <v>0</v>
      </c>
    </row>
    <row r="126" spans="2:9" x14ac:dyDescent="0.3">
      <c r="B126" s="239"/>
      <c r="C126" s="229"/>
      <c r="D126" s="231"/>
      <c r="E126" s="235"/>
      <c r="F126" s="134" t="str">
        <f>'Practices and Requirements'!C127</f>
        <v>T-CODE-SST-3-1</v>
      </c>
      <c r="G126" s="134" t="str">
        <f>'Practices and Requirements'!E127</f>
        <v>To be filled</v>
      </c>
      <c r="H126" s="55">
        <f>'Practices and Requirements'!V127</f>
        <v>0</v>
      </c>
      <c r="I126" s="67">
        <v>0</v>
      </c>
    </row>
    <row r="127" spans="2:9" x14ac:dyDescent="0.3">
      <c r="B127" s="239"/>
      <c r="C127" s="229"/>
      <c r="D127" s="231"/>
      <c r="E127" s="235"/>
      <c r="F127" s="134" t="str">
        <f>'Practices and Requirements'!C173</f>
        <v>T-PREPROD-DAST-0-1</v>
      </c>
      <c r="G127" s="134" t="str">
        <f>'Practices and Requirements'!E173</f>
        <v>To be filled</v>
      </c>
      <c r="H127" s="55">
        <f>'Practices and Requirements'!V173</f>
        <v>0</v>
      </c>
      <c r="I127" s="67">
        <v>0</v>
      </c>
    </row>
    <row r="128" spans="2:9" x14ac:dyDescent="0.3">
      <c r="B128" s="239"/>
      <c r="C128" s="229"/>
      <c r="D128" s="231"/>
      <c r="E128" s="235"/>
      <c r="F128" s="134" t="str">
        <f>'Practices and Requirements'!C174</f>
        <v>T-PREPROD-DAST-1-1</v>
      </c>
      <c r="G128" s="134" t="str">
        <f>'Practices and Requirements'!E174</f>
        <v>To be filled</v>
      </c>
      <c r="H128" s="55">
        <f>'Practices and Requirements'!V174</f>
        <v>0</v>
      </c>
      <c r="I128" s="67">
        <v>0</v>
      </c>
    </row>
    <row r="129" spans="2:9" x14ac:dyDescent="0.3">
      <c r="B129" s="239"/>
      <c r="C129" s="229"/>
      <c r="D129" s="231"/>
      <c r="E129" s="235"/>
      <c r="F129" s="134" t="str">
        <f>'Practices and Requirements'!C185</f>
        <v>T-PREPROD-DAST-4-2</v>
      </c>
      <c r="G129" s="134" t="str">
        <f>'Practices and Requirements'!E185</f>
        <v>To be filled</v>
      </c>
      <c r="H129" s="55">
        <f>'Practices and Requirements'!V185</f>
        <v>0</v>
      </c>
      <c r="I129" s="67">
        <v>0</v>
      </c>
    </row>
    <row r="130" spans="2:9" x14ac:dyDescent="0.3">
      <c r="B130" s="239"/>
      <c r="C130" s="229"/>
      <c r="D130" s="231"/>
      <c r="E130" s="235"/>
      <c r="F130" s="134" t="str">
        <f>'Practices and Requirements'!C193</f>
        <v>T-PREPROD-SECTEST-0-1</v>
      </c>
      <c r="G130" s="134" t="str">
        <f>'Practices and Requirements'!E193</f>
        <v>To be filled</v>
      </c>
      <c r="H130" s="55">
        <f>'Practices and Requirements'!V193</f>
        <v>0</v>
      </c>
      <c r="I130" s="67">
        <v>0</v>
      </c>
    </row>
    <row r="131" spans="2:9" x14ac:dyDescent="0.3">
      <c r="B131" s="239"/>
      <c r="C131" s="229">
        <v>2</v>
      </c>
      <c r="D131" s="231" t="s">
        <v>843</v>
      </c>
      <c r="E131" s="235" t="s">
        <v>687</v>
      </c>
      <c r="F131" s="134" t="str">
        <f>'Practices and Requirements'!C123</f>
        <v>T-CODE-SST-2-1</v>
      </c>
      <c r="G131" s="134" t="str">
        <f>'Practices and Requirements'!E123</f>
        <v>To be filled</v>
      </c>
      <c r="H131" s="55">
        <f>'Practices and Requirements'!V123</f>
        <v>0</v>
      </c>
      <c r="I131" s="67">
        <v>0</v>
      </c>
    </row>
    <row r="132" spans="2:9" x14ac:dyDescent="0.3">
      <c r="B132" s="239"/>
      <c r="C132" s="229"/>
      <c r="D132" s="231"/>
      <c r="E132" s="235"/>
      <c r="F132" s="134" t="str">
        <f>'Practices and Requirements'!C124</f>
        <v>T-CODE-SST-2-2</v>
      </c>
      <c r="G132" s="134" t="str">
        <f>'Practices and Requirements'!E124</f>
        <v>To be filled</v>
      </c>
      <c r="H132" s="55">
        <f>'Practices and Requirements'!V124</f>
        <v>0</v>
      </c>
      <c r="I132" s="67">
        <v>0</v>
      </c>
    </row>
    <row r="133" spans="2:9" x14ac:dyDescent="0.3">
      <c r="B133" s="239"/>
      <c r="C133" s="229"/>
      <c r="D133" s="231"/>
      <c r="E133" s="235"/>
      <c r="F133" s="134" t="str">
        <f>'Practices and Requirements'!C128</f>
        <v>T-CODE-SST-3-2</v>
      </c>
      <c r="G133" s="134" t="str">
        <f>'Practices and Requirements'!E128</f>
        <v>To be filled</v>
      </c>
      <c r="H133" s="55">
        <f>'Practices and Requirements'!V128</f>
        <v>0</v>
      </c>
      <c r="I133" s="67">
        <v>0</v>
      </c>
    </row>
    <row r="134" spans="2:9" x14ac:dyDescent="0.3">
      <c r="B134" s="239"/>
      <c r="C134" s="229"/>
      <c r="D134" s="231"/>
      <c r="E134" s="235"/>
      <c r="F134" s="134" t="str">
        <f>'Practices and Requirements'!C176</f>
        <v>T-PREPROD-DAST-2-1</v>
      </c>
      <c r="G134" s="134" t="str">
        <f>'Practices and Requirements'!E176</f>
        <v>To be filled</v>
      </c>
      <c r="H134" s="55">
        <f>'Practices and Requirements'!V176</f>
        <v>0</v>
      </c>
      <c r="I134" s="67">
        <v>0</v>
      </c>
    </row>
    <row r="135" spans="2:9" x14ac:dyDescent="0.3">
      <c r="B135" s="239"/>
      <c r="C135" s="229"/>
      <c r="D135" s="231"/>
      <c r="E135" s="235"/>
      <c r="F135" s="134" t="str">
        <f>'Practices and Requirements'!C181</f>
        <v>T-PREPROD-DAST-3-2</v>
      </c>
      <c r="G135" s="134" t="str">
        <f>'Practices and Requirements'!E181</f>
        <v>To be filled</v>
      </c>
      <c r="H135" s="55">
        <f>'Practices and Requirements'!V181</f>
        <v>0</v>
      </c>
      <c r="I135" s="67">
        <v>0</v>
      </c>
    </row>
    <row r="136" spans="2:9" x14ac:dyDescent="0.3">
      <c r="B136" s="239"/>
      <c r="C136" s="229">
        <v>3</v>
      </c>
      <c r="D136" s="231" t="s">
        <v>844</v>
      </c>
      <c r="E136" s="235" t="s">
        <v>686</v>
      </c>
      <c r="F136" s="134" t="str">
        <f>'Practices and Requirements'!C125</f>
        <v>T-CODE-SST-2-3</v>
      </c>
      <c r="G136" s="134" t="str">
        <f>'Practices and Requirements'!E125</f>
        <v>To be filled</v>
      </c>
      <c r="H136" s="55">
        <f>'Practices and Requirements'!V125</f>
        <v>0</v>
      </c>
      <c r="I136" s="67">
        <v>0</v>
      </c>
    </row>
    <row r="137" spans="2:9" x14ac:dyDescent="0.3">
      <c r="B137" s="239"/>
      <c r="C137" s="229"/>
      <c r="D137" s="231"/>
      <c r="E137" s="235"/>
      <c r="F137" s="134" t="str">
        <f>'Practices and Requirements'!C179</f>
        <v>T-PREPROD-DAST-2-4</v>
      </c>
      <c r="G137" s="134" t="str">
        <f>'Practices and Requirements'!E179</f>
        <v>To be filled</v>
      </c>
      <c r="H137" s="55">
        <f>'Practices and Requirements'!V179</f>
        <v>0</v>
      </c>
      <c r="I137" s="67">
        <v>0</v>
      </c>
    </row>
    <row r="138" spans="2:9" ht="17.25" thickBot="1" x14ac:dyDescent="0.35">
      <c r="B138" s="240"/>
      <c r="C138" s="230"/>
      <c r="D138" s="232"/>
      <c r="E138" s="236"/>
      <c r="F138" s="56" t="str">
        <f>'Practices and Requirements'!C138</f>
        <v>T-CODE-SC-2-4</v>
      </c>
      <c r="G138" s="56" t="str">
        <f>'Practices and Requirements'!E138</f>
        <v>To be filled</v>
      </c>
      <c r="H138" s="57">
        <f>'Practices and Requirements'!V138</f>
        <v>0</v>
      </c>
      <c r="I138" s="67">
        <v>0</v>
      </c>
    </row>
    <row r="139" spans="2:9" x14ac:dyDescent="0.3">
      <c r="B139" s="238" t="s">
        <v>845</v>
      </c>
      <c r="C139" s="85">
        <v>1</v>
      </c>
      <c r="D139" s="63" t="s">
        <v>846</v>
      </c>
      <c r="E139" s="80" t="s">
        <v>692</v>
      </c>
      <c r="F139" s="64" t="str">
        <f>'Practices and Requirements'!C186</f>
        <v>T-PREPROD-DAST-4-3</v>
      </c>
      <c r="G139" s="64" t="str">
        <f>'Practices and Requirements'!E186</f>
        <v>To be filled</v>
      </c>
      <c r="H139" s="65">
        <f>'Practices and Requirements'!V186</f>
        <v>0</v>
      </c>
      <c r="I139" s="67">
        <v>0</v>
      </c>
    </row>
    <row r="140" spans="2:9" x14ac:dyDescent="0.3">
      <c r="B140" s="239"/>
      <c r="C140" s="229">
        <v>2</v>
      </c>
      <c r="D140" s="231" t="s">
        <v>847</v>
      </c>
      <c r="E140" s="235" t="s">
        <v>691</v>
      </c>
      <c r="F140" s="134" t="str">
        <f>'Practices and Requirements'!C187</f>
        <v>T-PREPROD-PENTEST-0-1</v>
      </c>
      <c r="G140" s="134" t="str">
        <f>'Practices and Requirements'!E187</f>
        <v>To be filled</v>
      </c>
      <c r="H140" s="55">
        <f>'Practices and Requirements'!V187</f>
        <v>0</v>
      </c>
      <c r="I140" s="67">
        <v>0</v>
      </c>
    </row>
    <row r="141" spans="2:9" x14ac:dyDescent="0.3">
      <c r="B141" s="239"/>
      <c r="C141" s="229"/>
      <c r="D141" s="231"/>
      <c r="E141" s="235"/>
      <c r="F141" s="134" t="str">
        <f>'Practices and Requirements'!C188</f>
        <v>T-PREPROD-PENTEST-1-1</v>
      </c>
      <c r="G141" s="134" t="str">
        <f>'Practices and Requirements'!E188</f>
        <v>To be filled</v>
      </c>
      <c r="H141" s="55">
        <f>'Practices and Requirements'!V188</f>
        <v>0</v>
      </c>
      <c r="I141" s="67">
        <v>0</v>
      </c>
    </row>
    <row r="142" spans="2:9" x14ac:dyDescent="0.3">
      <c r="B142" s="239"/>
      <c r="C142" s="229"/>
      <c r="D142" s="231"/>
      <c r="E142" s="235"/>
      <c r="F142" s="134" t="str">
        <f>'Practices and Requirements'!C189</f>
        <v>T-PREPROD-PENTEST-1-2</v>
      </c>
      <c r="G142" s="134" t="str">
        <f>'Practices and Requirements'!E189</f>
        <v>To be filled</v>
      </c>
      <c r="H142" s="55">
        <f>'Practices and Requirements'!V189</f>
        <v>0</v>
      </c>
      <c r="I142" s="67">
        <v>0</v>
      </c>
    </row>
    <row r="143" spans="2:9" x14ac:dyDescent="0.3">
      <c r="B143" s="239"/>
      <c r="C143" s="229"/>
      <c r="D143" s="231"/>
      <c r="E143" s="235"/>
      <c r="F143" s="134" t="str">
        <f>'Practices and Requirements'!C190</f>
        <v>T-PREPROD-PENTEST-1-3</v>
      </c>
      <c r="G143" s="134" t="str">
        <f>'Practices and Requirements'!E190</f>
        <v>To be filled</v>
      </c>
      <c r="H143" s="55">
        <f>'Practices and Requirements'!V190</f>
        <v>0</v>
      </c>
      <c r="I143" s="67">
        <v>0</v>
      </c>
    </row>
    <row r="144" spans="2:9" x14ac:dyDescent="0.3">
      <c r="B144" s="239"/>
      <c r="C144" s="229"/>
      <c r="D144" s="231"/>
      <c r="E144" s="235"/>
      <c r="F144" s="134" t="str">
        <f>'Practices and Requirements'!C330</f>
        <v>P-REQ-CR-2-1</v>
      </c>
      <c r="G144" s="134" t="str">
        <f>'Practices and Requirements'!E330</f>
        <v>To be filled</v>
      </c>
      <c r="H144" s="55">
        <f>'Practices and Requirements'!V330</f>
        <v>0</v>
      </c>
      <c r="I144" s="67">
        <v>0</v>
      </c>
    </row>
    <row r="145" spans="2:9" ht="17.25" thickBot="1" x14ac:dyDescent="0.35">
      <c r="B145" s="240"/>
      <c r="C145" s="84">
        <v>3</v>
      </c>
      <c r="D145" s="68" t="s">
        <v>848</v>
      </c>
      <c r="E145" s="87" t="s">
        <v>900</v>
      </c>
      <c r="F145" s="156"/>
      <c r="G145" s="156"/>
      <c r="H145" s="57"/>
      <c r="I145" s="67">
        <v>0</v>
      </c>
    </row>
    <row r="146" spans="2:9" x14ac:dyDescent="0.3">
      <c r="B146" s="244" t="s">
        <v>647</v>
      </c>
      <c r="C146" s="245"/>
      <c r="D146" s="245"/>
      <c r="E146" s="245"/>
      <c r="F146" s="245"/>
      <c r="G146" s="245"/>
      <c r="H146" s="246"/>
      <c r="I146" s="67">
        <v>0</v>
      </c>
    </row>
    <row r="147" spans="2:9" ht="17.25" thickBot="1" x14ac:dyDescent="0.35">
      <c r="B147" s="241" t="s">
        <v>849</v>
      </c>
      <c r="C147" s="242"/>
      <c r="D147" s="242"/>
      <c r="E147" s="242"/>
      <c r="F147" s="242"/>
      <c r="G147" s="242"/>
      <c r="H147" s="243"/>
      <c r="I147" s="67">
        <v>0</v>
      </c>
    </row>
    <row r="148" spans="2:9" x14ac:dyDescent="0.3">
      <c r="B148" s="238" t="s">
        <v>850</v>
      </c>
      <c r="C148" s="85">
        <v>1</v>
      </c>
      <c r="D148" s="63" t="s">
        <v>851</v>
      </c>
      <c r="E148" s="80" t="s">
        <v>896</v>
      </c>
      <c r="F148" s="154"/>
      <c r="G148" s="154"/>
      <c r="H148" s="65"/>
      <c r="I148" s="67">
        <v>0</v>
      </c>
    </row>
    <row r="149" spans="2:9" x14ac:dyDescent="0.3">
      <c r="B149" s="239"/>
      <c r="C149" s="229">
        <v>2</v>
      </c>
      <c r="D149" s="231" t="s">
        <v>852</v>
      </c>
      <c r="E149" s="235" t="s">
        <v>688</v>
      </c>
      <c r="F149" s="134" t="str">
        <f>'Practices and Requirements'!C39</f>
        <v>T-DEV-SM-1-2</v>
      </c>
      <c r="G149" s="134" t="str">
        <f>'Practices and Requirements'!E39</f>
        <v>To be filled</v>
      </c>
      <c r="H149" s="55">
        <f>'Practices and Requirements'!V39</f>
        <v>0</v>
      </c>
      <c r="I149" s="67">
        <v>0</v>
      </c>
    </row>
    <row r="150" spans="2:9" x14ac:dyDescent="0.3">
      <c r="B150" s="239"/>
      <c r="C150" s="229"/>
      <c r="D150" s="231"/>
      <c r="E150" s="235"/>
      <c r="F150" s="134" t="str">
        <f>'Practices and Requirements'!C159</f>
        <v>T-CODE-SECDN-1-4</v>
      </c>
      <c r="G150" s="134" t="str">
        <f>'Practices and Requirements'!E159</f>
        <v>To be filled</v>
      </c>
      <c r="H150" s="55">
        <f>'Practices and Requirements'!V159</f>
        <v>0</v>
      </c>
      <c r="I150" s="67">
        <v>0</v>
      </c>
    </row>
    <row r="151" spans="2:9" ht="17.25" thickBot="1" x14ac:dyDescent="0.35">
      <c r="B151" s="240"/>
      <c r="C151" s="84">
        <v>3</v>
      </c>
      <c r="D151" s="68" t="s">
        <v>853</v>
      </c>
      <c r="E151" s="87" t="s">
        <v>897</v>
      </c>
      <c r="F151" s="156"/>
      <c r="G151" s="156"/>
      <c r="H151" s="57"/>
      <c r="I151" s="67">
        <v>0</v>
      </c>
    </row>
    <row r="152" spans="2:9" x14ac:dyDescent="0.3">
      <c r="B152" s="238" t="s">
        <v>854</v>
      </c>
      <c r="C152" s="85">
        <v>1</v>
      </c>
      <c r="D152" s="63" t="s">
        <v>855</v>
      </c>
      <c r="E152" s="80" t="s">
        <v>898</v>
      </c>
      <c r="F152" s="154"/>
      <c r="G152" s="154"/>
      <c r="H152" s="65"/>
      <c r="I152" s="67">
        <v>0</v>
      </c>
    </row>
    <row r="153" spans="2:9" x14ac:dyDescent="0.3">
      <c r="B153" s="239"/>
      <c r="C153" s="83">
        <v>2</v>
      </c>
      <c r="D153" s="133" t="s">
        <v>856</v>
      </c>
      <c r="E153" s="81" t="s">
        <v>689</v>
      </c>
      <c r="F153" s="134" t="str">
        <f>'Practices and Requirements'!C162</f>
        <v>T-CODE-SECDN-2-3</v>
      </c>
      <c r="G153" s="134" t="str">
        <f>'Practices and Requirements'!E162</f>
        <v>To be filled</v>
      </c>
      <c r="H153" s="55">
        <f>'Practices and Requirements'!V162</f>
        <v>0</v>
      </c>
      <c r="I153" s="67">
        <v>0</v>
      </c>
    </row>
    <row r="154" spans="2:9" ht="17.25" thickBot="1" x14ac:dyDescent="0.35">
      <c r="B154" s="240"/>
      <c r="C154" s="84">
        <v>3</v>
      </c>
      <c r="D154" s="68" t="s">
        <v>857</v>
      </c>
      <c r="E154" s="87" t="s">
        <v>899</v>
      </c>
      <c r="F154" s="156"/>
      <c r="G154" s="156"/>
      <c r="H154" s="57"/>
      <c r="I154" s="67">
        <v>0</v>
      </c>
    </row>
    <row r="155" spans="2:9" ht="17.25" thickBot="1" x14ac:dyDescent="0.35">
      <c r="B155" s="241" t="s">
        <v>858</v>
      </c>
      <c r="C155" s="242"/>
      <c r="D155" s="242"/>
      <c r="E155" s="242"/>
      <c r="F155" s="242"/>
      <c r="G155" s="242"/>
      <c r="H155" s="243"/>
      <c r="I155" s="67">
        <v>0</v>
      </c>
    </row>
    <row r="156" spans="2:9" x14ac:dyDescent="0.3">
      <c r="B156" s="238" t="s">
        <v>859</v>
      </c>
      <c r="C156" s="237">
        <v>1</v>
      </c>
      <c r="D156" s="233" t="s">
        <v>860</v>
      </c>
      <c r="E156" s="234" t="s">
        <v>697</v>
      </c>
      <c r="F156" s="64" t="str">
        <f>'Practices and Requirements'!C8</f>
        <v>T-ADI-DEP-1-4</v>
      </c>
      <c r="G156" s="64" t="str">
        <f>'Practices and Requirements'!E8</f>
        <v>To be filled</v>
      </c>
      <c r="H156" s="65">
        <f>'Practices and Requirements'!V8</f>
        <v>0</v>
      </c>
      <c r="I156" s="67">
        <v>0</v>
      </c>
    </row>
    <row r="157" spans="2:9" x14ac:dyDescent="0.3">
      <c r="B157" s="239"/>
      <c r="C157" s="229"/>
      <c r="D157" s="231"/>
      <c r="E157" s="235"/>
      <c r="F157" s="134" t="str">
        <f>'Practices and Requirements'!C333</f>
        <v>P-REQ-STDR-App-0-1</v>
      </c>
      <c r="G157" s="134" t="str">
        <f>'Practices and Requirements'!E333</f>
        <v>To be filled</v>
      </c>
      <c r="H157" s="55">
        <f>'Practices and Requirements'!V333</f>
        <v>0</v>
      </c>
      <c r="I157" s="67">
        <v>0</v>
      </c>
    </row>
    <row r="158" spans="2:9" x14ac:dyDescent="0.3">
      <c r="B158" s="239"/>
      <c r="C158" s="229"/>
      <c r="D158" s="231"/>
      <c r="E158" s="235"/>
      <c r="F158" s="134" t="str">
        <f>'Practices and Requirements'!C334</f>
        <v>P-REQ-STDR-App-1-1</v>
      </c>
      <c r="G158" s="134" t="str">
        <f>'Practices and Requirements'!E334</f>
        <v>To be filled</v>
      </c>
      <c r="H158" s="55">
        <f>'Practices and Requirements'!V334</f>
        <v>0</v>
      </c>
      <c r="I158" s="67">
        <v>0</v>
      </c>
    </row>
    <row r="159" spans="2:9" x14ac:dyDescent="0.3">
      <c r="B159" s="239"/>
      <c r="C159" s="229"/>
      <c r="D159" s="231"/>
      <c r="E159" s="235"/>
      <c r="F159" s="134" t="str">
        <f>'Practices and Requirements'!C336</f>
        <v>P-REQ-STDR-App-2-1</v>
      </c>
      <c r="G159" s="134" t="str">
        <f>'Practices and Requirements'!E336</f>
        <v>To be filled</v>
      </c>
      <c r="H159" s="55">
        <f>'Practices and Requirements'!V336</f>
        <v>0</v>
      </c>
      <c r="I159" s="67">
        <v>0</v>
      </c>
    </row>
    <row r="160" spans="2:9" x14ac:dyDescent="0.3">
      <c r="B160" s="239"/>
      <c r="C160" s="83">
        <v>2</v>
      </c>
      <c r="D160" s="133" t="s">
        <v>861</v>
      </c>
      <c r="E160" s="81" t="s">
        <v>717</v>
      </c>
      <c r="F160" s="134" t="str">
        <f>'Practices and Requirements'!C337</f>
        <v>P-REQ-STDR-App-3-1</v>
      </c>
      <c r="G160" s="134" t="str">
        <f>'Practices and Requirements'!E337</f>
        <v>To be filled</v>
      </c>
      <c r="H160" s="55">
        <f>'Practices and Requirements'!V337</f>
        <v>0</v>
      </c>
      <c r="I160" s="67">
        <v>0</v>
      </c>
    </row>
    <row r="161" spans="2:9" x14ac:dyDescent="0.3">
      <c r="B161" s="239"/>
      <c r="C161" s="229">
        <v>3</v>
      </c>
      <c r="D161" s="231" t="s">
        <v>862</v>
      </c>
      <c r="E161" s="235" t="s">
        <v>707</v>
      </c>
      <c r="F161" s="134" t="str">
        <f>'Practices and Requirements'!C210</f>
        <v>T-PREPROD-MANSEC-0-1</v>
      </c>
      <c r="G161" s="134" t="str">
        <f>'Practices and Requirements'!E210</f>
        <v>To be filled</v>
      </c>
      <c r="H161" s="55">
        <f>'Practices and Requirements'!V210</f>
        <v>0</v>
      </c>
      <c r="I161" s="67">
        <v>0</v>
      </c>
    </row>
    <row r="162" spans="2:9" ht="17.25" thickBot="1" x14ac:dyDescent="0.35">
      <c r="B162" s="240"/>
      <c r="C162" s="230"/>
      <c r="D162" s="232"/>
      <c r="E162" s="236"/>
      <c r="F162" s="56" t="str">
        <f>'Practices and Requirements'!C339</f>
        <v>P-REQ-STDR-App-4-1</v>
      </c>
      <c r="G162" s="56" t="str">
        <f>'Practices and Requirements'!E339</f>
        <v>To be filled</v>
      </c>
      <c r="H162" s="57">
        <f>'Practices and Requirements'!V339</f>
        <v>0</v>
      </c>
      <c r="I162" s="67">
        <v>0</v>
      </c>
    </row>
    <row r="163" spans="2:9" x14ac:dyDescent="0.3">
      <c r="B163" s="238" t="s">
        <v>863</v>
      </c>
      <c r="C163" s="85">
        <v>1</v>
      </c>
      <c r="D163" s="63" t="s">
        <v>864</v>
      </c>
      <c r="E163" s="80" t="s">
        <v>895</v>
      </c>
      <c r="F163" s="154"/>
      <c r="G163" s="154"/>
      <c r="H163" s="65"/>
      <c r="I163" s="67">
        <v>0</v>
      </c>
    </row>
    <row r="164" spans="2:9" x14ac:dyDescent="0.3">
      <c r="B164" s="239"/>
      <c r="C164" s="229">
        <v>2</v>
      </c>
      <c r="D164" s="231" t="s">
        <v>865</v>
      </c>
      <c r="E164" s="235" t="s">
        <v>704</v>
      </c>
      <c r="F164" s="134" t="str">
        <f>'Practices and Requirements'!C200</f>
        <v>T-PREPROD-VULN-1-2</v>
      </c>
      <c r="G164" s="134" t="str">
        <f>'Practices and Requirements'!E200</f>
        <v>To be filled</v>
      </c>
      <c r="H164" s="55">
        <f>'Practices and Requirements'!V200</f>
        <v>0</v>
      </c>
      <c r="I164" s="67">
        <v>0</v>
      </c>
    </row>
    <row r="165" spans="2:9" x14ac:dyDescent="0.3">
      <c r="B165" s="239"/>
      <c r="C165" s="229"/>
      <c r="D165" s="231"/>
      <c r="E165" s="235"/>
      <c r="F165" s="134" t="str">
        <f>'Practices and Requirements'!C271</f>
        <v>T-PROD-VULN-1-2</v>
      </c>
      <c r="G165" s="134" t="str">
        <f>'Practices and Requirements'!E271</f>
        <v>To be filled</v>
      </c>
      <c r="H165" s="55">
        <f>'Practices and Requirements'!V271</f>
        <v>0</v>
      </c>
      <c r="I165" s="67">
        <v>0</v>
      </c>
    </row>
    <row r="166" spans="2:9" x14ac:dyDescent="0.3">
      <c r="B166" s="239"/>
      <c r="C166" s="229">
        <v>3</v>
      </c>
      <c r="D166" s="231" t="s">
        <v>866</v>
      </c>
      <c r="E166" s="235" t="s">
        <v>705</v>
      </c>
      <c r="F166" s="134" t="str">
        <f>'Practices and Requirements'!C203</f>
        <v>T-PREPROD-VULN-2-3</v>
      </c>
      <c r="G166" s="134" t="str">
        <f>'Practices and Requirements'!E203</f>
        <v>To be filled</v>
      </c>
      <c r="H166" s="55">
        <f>'Practices and Requirements'!V203</f>
        <v>0</v>
      </c>
      <c r="I166" s="67">
        <v>0</v>
      </c>
    </row>
    <row r="167" spans="2:9" ht="17.25" thickBot="1" x14ac:dyDescent="0.35">
      <c r="B167" s="240"/>
      <c r="C167" s="230"/>
      <c r="D167" s="232"/>
      <c r="E167" s="236"/>
      <c r="F167" s="56" t="str">
        <f>'Practices and Requirements'!C274</f>
        <v>T-PROD-VULN-2-3</v>
      </c>
      <c r="G167" s="56" t="str">
        <f>'Practices and Requirements'!E274</f>
        <v>To be filled</v>
      </c>
      <c r="H167" s="57">
        <f>'Practices and Requirements'!V274</f>
        <v>0</v>
      </c>
      <c r="I167" s="67">
        <v>0</v>
      </c>
    </row>
    <row r="168" spans="2:9" ht="17.25" thickBot="1" x14ac:dyDescent="0.35">
      <c r="B168" s="241" t="s">
        <v>867</v>
      </c>
      <c r="C168" s="242"/>
      <c r="D168" s="242"/>
      <c r="E168" s="242"/>
      <c r="F168" s="242"/>
      <c r="G168" s="242"/>
      <c r="H168" s="243"/>
      <c r="I168" s="67">
        <v>0</v>
      </c>
    </row>
    <row r="169" spans="2:9" ht="33" x14ac:dyDescent="0.3">
      <c r="B169" s="238" t="s">
        <v>868</v>
      </c>
      <c r="C169" s="85">
        <v>1</v>
      </c>
      <c r="D169" s="63" t="s">
        <v>869</v>
      </c>
      <c r="E169" s="80" t="s">
        <v>894</v>
      </c>
      <c r="F169" s="154"/>
      <c r="G169" s="154"/>
      <c r="H169" s="65"/>
      <c r="I169" s="67">
        <v>0</v>
      </c>
    </row>
    <row r="170" spans="2:9" x14ac:dyDescent="0.3">
      <c r="B170" s="239"/>
      <c r="C170" s="83">
        <v>2</v>
      </c>
      <c r="D170" s="133" t="s">
        <v>870</v>
      </c>
      <c r="E170" s="81" t="s">
        <v>893</v>
      </c>
      <c r="F170" s="155"/>
      <c r="G170" s="155"/>
      <c r="H170" s="55"/>
      <c r="I170" s="67">
        <v>0</v>
      </c>
    </row>
    <row r="171" spans="2:9" ht="17.25" thickBot="1" x14ac:dyDescent="0.35">
      <c r="B171" s="240"/>
      <c r="C171" s="84">
        <v>3</v>
      </c>
      <c r="D171" s="68" t="s">
        <v>871</v>
      </c>
      <c r="E171" s="82" t="s">
        <v>892</v>
      </c>
      <c r="F171" s="156"/>
      <c r="G171" s="156"/>
      <c r="H171" s="57"/>
      <c r="I171" s="67">
        <v>0</v>
      </c>
    </row>
    <row r="172" spans="2:9" x14ac:dyDescent="0.3">
      <c r="B172" s="238" t="s">
        <v>872</v>
      </c>
      <c r="C172" s="237">
        <v>1</v>
      </c>
      <c r="D172" s="233" t="s">
        <v>873</v>
      </c>
      <c r="E172" s="234" t="s">
        <v>700</v>
      </c>
      <c r="F172" s="64" t="str">
        <f>'Practices and Requirements'!C11</f>
        <v>T-ADI-DEP-2-2</v>
      </c>
      <c r="G172" s="64" t="str">
        <f>'Practices and Requirements'!E11</f>
        <v>To be filled</v>
      </c>
      <c r="H172" s="65">
        <f>'Practices and Requirements'!V11</f>
        <v>0</v>
      </c>
      <c r="I172" s="67">
        <v>0</v>
      </c>
    </row>
    <row r="173" spans="2:9" x14ac:dyDescent="0.3">
      <c r="B173" s="239"/>
      <c r="C173" s="229"/>
      <c r="D173" s="231"/>
      <c r="E173" s="235"/>
      <c r="F173" s="134" t="str">
        <f>'Practices and Requirements'!C66</f>
        <v>T-DEV-SCM-2-4</v>
      </c>
      <c r="G173" s="134" t="str">
        <f>'Practices and Requirements'!E66</f>
        <v>To be filled</v>
      </c>
      <c r="H173" s="55">
        <f>'Practices and Requirements'!V66</f>
        <v>0</v>
      </c>
      <c r="I173" s="67">
        <v>0</v>
      </c>
    </row>
    <row r="174" spans="2:9" x14ac:dyDescent="0.3">
      <c r="B174" s="239"/>
      <c r="C174" s="229">
        <v>2</v>
      </c>
      <c r="D174" s="231" t="s">
        <v>874</v>
      </c>
      <c r="E174" s="235" t="s">
        <v>678</v>
      </c>
      <c r="F174" s="134" t="str">
        <f>'Practices and Requirements'!C11</f>
        <v>T-ADI-DEP-2-2</v>
      </c>
      <c r="G174" s="134" t="str">
        <f>'Practices and Requirements'!E11</f>
        <v>To be filled</v>
      </c>
      <c r="H174" s="55">
        <f>'Practices and Requirements'!V11</f>
        <v>0</v>
      </c>
      <c r="I174" s="67">
        <v>0</v>
      </c>
    </row>
    <row r="175" spans="2:9" x14ac:dyDescent="0.3">
      <c r="B175" s="239"/>
      <c r="C175" s="229"/>
      <c r="D175" s="231"/>
      <c r="E175" s="235"/>
      <c r="F175" s="134" t="str">
        <f>'Practices and Requirements'!C143</f>
        <v>T-CODE-SC-3-4</v>
      </c>
      <c r="G175" s="134" t="str">
        <f>'Practices and Requirements'!E143</f>
        <v>To be filled</v>
      </c>
      <c r="H175" s="55">
        <f>'Practices and Requirements'!V143</f>
        <v>0</v>
      </c>
      <c r="I175" s="67">
        <v>0</v>
      </c>
    </row>
    <row r="176" spans="2:9" x14ac:dyDescent="0.3">
      <c r="B176" s="239"/>
      <c r="C176" s="229">
        <v>3</v>
      </c>
      <c r="D176" s="231" t="s">
        <v>875</v>
      </c>
      <c r="E176" s="235" t="s">
        <v>706</v>
      </c>
      <c r="F176" s="134" t="str">
        <f>'Practices and Requirements'!C209</f>
        <v>T-PREPROD-VULN-4-2</v>
      </c>
      <c r="G176" s="134" t="str">
        <f>'Practices and Requirements'!E209</f>
        <v>To be filled</v>
      </c>
      <c r="H176" s="55">
        <f>'Practices and Requirements'!V209</f>
        <v>0</v>
      </c>
      <c r="I176" s="67">
        <v>0</v>
      </c>
    </row>
    <row r="177" spans="2:9" x14ac:dyDescent="0.3">
      <c r="B177" s="239"/>
      <c r="C177" s="229"/>
      <c r="D177" s="231"/>
      <c r="E177" s="235"/>
      <c r="F177" s="134" t="str">
        <f>'Practices and Requirements'!C280</f>
        <v>T-PROD-VULN-4-2</v>
      </c>
      <c r="G177" s="134" t="str">
        <f>'Practices and Requirements'!E280</f>
        <v>To be filled</v>
      </c>
      <c r="H177" s="55">
        <f>'Practices and Requirements'!V280</f>
        <v>0</v>
      </c>
      <c r="I177" s="67">
        <v>0</v>
      </c>
    </row>
    <row r="178" spans="2:9" ht="17.25" thickBot="1" x14ac:dyDescent="0.35">
      <c r="B178" s="240"/>
      <c r="C178" s="230"/>
      <c r="D178" s="232"/>
      <c r="E178" s="236"/>
      <c r="F178" s="56" t="str">
        <f>'Practices and Requirements'!C249</f>
        <v>T-PROD-ACCESS-0-1</v>
      </c>
      <c r="G178" s="56" t="str">
        <f>'Practices and Requirements'!E249</f>
        <v>To be filled</v>
      </c>
      <c r="H178" s="57">
        <f>'Practices and Requirements'!V249</f>
        <v>0</v>
      </c>
      <c r="I178" s="70">
        <v>0</v>
      </c>
    </row>
  </sheetData>
  <autoFilter ref="B1:H178" xr:uid="{00000000-0009-0000-0000-000004000000}"/>
  <mergeCells count="149">
    <mergeCell ref="E112:E113"/>
    <mergeCell ref="E115:E116"/>
    <mergeCell ref="B2:I2"/>
    <mergeCell ref="B3:I3"/>
    <mergeCell ref="B4:B6"/>
    <mergeCell ref="B7:B10"/>
    <mergeCell ref="C9:C10"/>
    <mergeCell ref="D9:D10"/>
    <mergeCell ref="E9:E10"/>
    <mergeCell ref="B11:H11"/>
    <mergeCell ref="B12:B14"/>
    <mergeCell ref="B15:B17"/>
    <mergeCell ref="B18:H18"/>
    <mergeCell ref="B19:B25"/>
    <mergeCell ref="B26:B31"/>
    <mergeCell ref="C26:C28"/>
    <mergeCell ref="C30:C31"/>
    <mergeCell ref="D30:D31"/>
    <mergeCell ref="D26:D28"/>
    <mergeCell ref="E19:E20"/>
    <mergeCell ref="E21:E23"/>
    <mergeCell ref="E24:E25"/>
    <mergeCell ref="E26:E28"/>
    <mergeCell ref="E30:E31"/>
    <mergeCell ref="B32:H32"/>
    <mergeCell ref="B33:H33"/>
    <mergeCell ref="B34:B37"/>
    <mergeCell ref="B38:B41"/>
    <mergeCell ref="B42:H42"/>
    <mergeCell ref="B43:B48"/>
    <mergeCell ref="C34:C35"/>
    <mergeCell ref="D34:D35"/>
    <mergeCell ref="C39:C40"/>
    <mergeCell ref="D39:D40"/>
    <mergeCell ref="E34:E35"/>
    <mergeCell ref="E44:E47"/>
    <mergeCell ref="D44:D47"/>
    <mergeCell ref="C44:C47"/>
    <mergeCell ref="E39:E40"/>
    <mergeCell ref="B79:B82"/>
    <mergeCell ref="B83:B90"/>
    <mergeCell ref="B91:H91"/>
    <mergeCell ref="E61:E64"/>
    <mergeCell ref="E65:E66"/>
    <mergeCell ref="E67:E70"/>
    <mergeCell ref="E71:E72"/>
    <mergeCell ref="B49:B51"/>
    <mergeCell ref="B52:H52"/>
    <mergeCell ref="B53:B55"/>
    <mergeCell ref="B56:B58"/>
    <mergeCell ref="B59:H59"/>
    <mergeCell ref="B60:H60"/>
    <mergeCell ref="B61:B70"/>
    <mergeCell ref="B71:B77"/>
    <mergeCell ref="B78:H78"/>
    <mergeCell ref="C61:C64"/>
    <mergeCell ref="C65:C66"/>
    <mergeCell ref="C67:C70"/>
    <mergeCell ref="D67:D70"/>
    <mergeCell ref="D61:D64"/>
    <mergeCell ref="D65:D66"/>
    <mergeCell ref="D83:D85"/>
    <mergeCell ref="C83:C85"/>
    <mergeCell ref="B172:B178"/>
    <mergeCell ref="C19:C20"/>
    <mergeCell ref="D19:D20"/>
    <mergeCell ref="D21:D23"/>
    <mergeCell ref="C21:C23"/>
    <mergeCell ref="C24:C25"/>
    <mergeCell ref="D24:D25"/>
    <mergeCell ref="B146:H146"/>
    <mergeCell ref="B147:H147"/>
    <mergeCell ref="B148:B151"/>
    <mergeCell ref="B152:B154"/>
    <mergeCell ref="B155:H155"/>
    <mergeCell ref="B156:B162"/>
    <mergeCell ref="E156:E159"/>
    <mergeCell ref="D156:D159"/>
    <mergeCell ref="C156:C159"/>
    <mergeCell ref="C161:C162"/>
    <mergeCell ref="B111:H111"/>
    <mergeCell ref="B112:B116"/>
    <mergeCell ref="B117:B121"/>
    <mergeCell ref="B122:H122"/>
    <mergeCell ref="B123:B138"/>
    <mergeCell ref="B139:B145"/>
    <mergeCell ref="C112:C113"/>
    <mergeCell ref="B163:B167"/>
    <mergeCell ref="B168:H168"/>
    <mergeCell ref="B169:B171"/>
    <mergeCell ref="D112:D113"/>
    <mergeCell ref="C115:C116"/>
    <mergeCell ref="D115:D116"/>
    <mergeCell ref="B92:B99"/>
    <mergeCell ref="B100:B102"/>
    <mergeCell ref="B103:H103"/>
    <mergeCell ref="B104:H104"/>
    <mergeCell ref="B105:B107"/>
    <mergeCell ref="B108:B110"/>
    <mergeCell ref="D93:D98"/>
    <mergeCell ref="C93:C98"/>
    <mergeCell ref="E93:E98"/>
    <mergeCell ref="E131:E135"/>
    <mergeCell ref="E136:E138"/>
    <mergeCell ref="C140:C144"/>
    <mergeCell ref="D140:D144"/>
    <mergeCell ref="E140:E144"/>
    <mergeCell ref="C149:C150"/>
    <mergeCell ref="D149:D150"/>
    <mergeCell ref="E149:E150"/>
    <mergeCell ref="C118:C120"/>
    <mergeCell ref="C86:C89"/>
    <mergeCell ref="D86:D89"/>
    <mergeCell ref="E86:E89"/>
    <mergeCell ref="E83:E85"/>
    <mergeCell ref="D71:D72"/>
    <mergeCell ref="D73:D76"/>
    <mergeCell ref="C73:C76"/>
    <mergeCell ref="C71:C72"/>
    <mergeCell ref="E73:E76"/>
    <mergeCell ref="D80:D81"/>
    <mergeCell ref="C80:C81"/>
    <mergeCell ref="E80:E81"/>
    <mergeCell ref="D118:D120"/>
    <mergeCell ref="E118:E120"/>
    <mergeCell ref="C123:C130"/>
    <mergeCell ref="C131:C135"/>
    <mergeCell ref="C136:C138"/>
    <mergeCell ref="D123:D130"/>
    <mergeCell ref="D131:D135"/>
    <mergeCell ref="D136:D138"/>
    <mergeCell ref="E123:E130"/>
    <mergeCell ref="C176:C178"/>
    <mergeCell ref="D174:D175"/>
    <mergeCell ref="D176:D178"/>
    <mergeCell ref="D172:D173"/>
    <mergeCell ref="E172:E173"/>
    <mergeCell ref="E174:E175"/>
    <mergeCell ref="E176:E178"/>
    <mergeCell ref="D161:D162"/>
    <mergeCell ref="E161:E162"/>
    <mergeCell ref="C164:C165"/>
    <mergeCell ref="C166:C167"/>
    <mergeCell ref="C172:C173"/>
    <mergeCell ref="C174:C175"/>
    <mergeCell ref="E164:E165"/>
    <mergeCell ref="D164:D165"/>
    <mergeCell ref="D166:D167"/>
    <mergeCell ref="E166:E167"/>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N257"/>
  <sheetViews>
    <sheetView zoomScale="70" zoomScaleNormal="70" workbookViewId="0">
      <pane xSplit="2" ySplit="1" topLeftCell="D2" activePane="bottomRight" state="frozen"/>
      <selection pane="topRight" activeCell="B1" sqref="B1"/>
      <selection pane="bottomLeft" activeCell="A2" sqref="A2"/>
      <selection pane="bottomRight" activeCell="M9" sqref="M9"/>
    </sheetView>
  </sheetViews>
  <sheetFormatPr defaultColWidth="8.85546875" defaultRowHeight="16.5" x14ac:dyDescent="0.3"/>
  <cols>
    <col min="1" max="1" width="2.140625" style="2" customWidth="1"/>
    <col min="2" max="2" width="4.42578125" style="50" bestFit="1" customWidth="1"/>
    <col min="3" max="3" width="24" style="2" bestFit="1" customWidth="1"/>
    <col min="4" max="4" width="31" style="2" bestFit="1" customWidth="1"/>
    <col min="5" max="5" width="81.28515625" style="2" bestFit="1" customWidth="1"/>
    <col min="6" max="6" width="49.42578125" style="2" bestFit="1" customWidth="1"/>
    <col min="7" max="7" width="21.42578125" style="2" bestFit="1" customWidth="1"/>
    <col min="8" max="8" width="27.7109375" style="2" bestFit="1" customWidth="1"/>
    <col min="9" max="9" width="20.5703125" style="2" customWidth="1"/>
    <col min="10" max="10" width="25" style="2" hidden="1" customWidth="1"/>
    <col min="11" max="11" width="8.85546875" style="2"/>
    <col min="12" max="12" width="25" style="2" customWidth="1"/>
    <col min="13" max="13" width="18.140625" style="2" bestFit="1" customWidth="1"/>
    <col min="14" max="14" width="32.28515625" style="2" customWidth="1"/>
    <col min="15" max="16384" width="8.85546875" style="2"/>
  </cols>
  <sheetData>
    <row r="1" spans="2:14" ht="49.5" x14ac:dyDescent="0.3">
      <c r="B1" s="116" t="s">
        <v>0</v>
      </c>
      <c r="C1" s="163" t="s">
        <v>907</v>
      </c>
      <c r="D1" s="123" t="s">
        <v>908</v>
      </c>
      <c r="E1" s="123" t="s">
        <v>909</v>
      </c>
      <c r="F1" s="122" t="s">
        <v>910</v>
      </c>
      <c r="G1" s="123" t="s">
        <v>2024</v>
      </c>
      <c r="H1" s="123" t="s">
        <v>2025</v>
      </c>
      <c r="I1" s="123" t="s">
        <v>2026</v>
      </c>
      <c r="J1" s="71" t="s">
        <v>2030</v>
      </c>
      <c r="L1" s="116" t="s">
        <v>2016</v>
      </c>
      <c r="M1" s="123" t="s">
        <v>2014</v>
      </c>
      <c r="N1" s="123" t="s">
        <v>2017</v>
      </c>
    </row>
    <row r="2" spans="2:14" x14ac:dyDescent="0.3">
      <c r="B2" s="61">
        <v>1</v>
      </c>
      <c r="C2" s="72" t="s">
        <v>911</v>
      </c>
      <c r="D2" s="72" t="s">
        <v>912</v>
      </c>
      <c r="E2" s="72" t="s">
        <v>913</v>
      </c>
      <c r="F2" s="73" t="s">
        <v>914</v>
      </c>
      <c r="G2" s="107"/>
      <c r="H2" s="107"/>
      <c r="I2" s="107"/>
      <c r="J2" s="73">
        <v>0</v>
      </c>
      <c r="L2" s="49">
        <f>COUNTA(I2:I257)</f>
        <v>136</v>
      </c>
      <c r="M2" s="49">
        <f>COUNTA(B2:B257)</f>
        <v>185</v>
      </c>
      <c r="N2" s="60">
        <f>(L2/M2)*100</f>
        <v>73.513513513513516</v>
      </c>
    </row>
    <row r="3" spans="2:14" x14ac:dyDescent="0.3">
      <c r="B3" s="61">
        <v>2</v>
      </c>
      <c r="C3" s="72" t="s">
        <v>911</v>
      </c>
      <c r="D3" s="72" t="s">
        <v>912</v>
      </c>
      <c r="E3" s="72" t="s">
        <v>915</v>
      </c>
      <c r="F3" s="73" t="s">
        <v>916</v>
      </c>
      <c r="G3" s="107"/>
      <c r="H3" s="107"/>
      <c r="I3" s="107"/>
      <c r="J3" s="73">
        <v>0</v>
      </c>
    </row>
    <row r="4" spans="2:14" x14ac:dyDescent="0.3">
      <c r="B4" s="267">
        <v>3</v>
      </c>
      <c r="C4" s="265" t="s">
        <v>911</v>
      </c>
      <c r="D4" s="265" t="s">
        <v>912</v>
      </c>
      <c r="E4" s="265" t="s">
        <v>917</v>
      </c>
      <c r="F4" s="266" t="s">
        <v>918</v>
      </c>
      <c r="G4" s="107" t="str">
        <f>'Practices and Requirements'!C51</f>
        <v>T-DEV-BLD-3-1</v>
      </c>
      <c r="H4" s="107" t="str">
        <f>'Practices and Requirements'!E51</f>
        <v>To be filled</v>
      </c>
      <c r="I4" s="107">
        <f>'Practices and Requirements'!V51</f>
        <v>0</v>
      </c>
      <c r="J4" s="73">
        <v>0</v>
      </c>
    </row>
    <row r="5" spans="2:14" x14ac:dyDescent="0.3">
      <c r="B5" s="267"/>
      <c r="C5" s="265"/>
      <c r="D5" s="265"/>
      <c r="E5" s="265"/>
      <c r="F5" s="266"/>
      <c r="G5" s="107" t="str">
        <f>'Practices and Requirements'!C54</f>
        <v>T-DEV-BLD-4-1</v>
      </c>
      <c r="H5" s="107" t="str">
        <f>'Practices and Requirements'!E54</f>
        <v>To be filled</v>
      </c>
      <c r="I5" s="107">
        <f>'Practices and Requirements'!V54</f>
        <v>0</v>
      </c>
      <c r="J5" s="73">
        <v>0</v>
      </c>
    </row>
    <row r="6" spans="2:14" x14ac:dyDescent="0.3">
      <c r="B6" s="267">
        <v>4</v>
      </c>
      <c r="C6" s="265" t="s">
        <v>911</v>
      </c>
      <c r="D6" s="265" t="s">
        <v>912</v>
      </c>
      <c r="E6" s="265" t="s">
        <v>919</v>
      </c>
      <c r="F6" s="265" t="s">
        <v>920</v>
      </c>
      <c r="G6" s="107" t="str">
        <f>'Practices and Requirements'!C4</f>
        <v>T-ADI-DEP-0-1</v>
      </c>
      <c r="H6" s="107" t="str">
        <f>'Practices and Requirements'!E4</f>
        <v>To be filled</v>
      </c>
      <c r="I6" s="107">
        <f>'Practices and Requirements'!V4</f>
        <v>0</v>
      </c>
      <c r="J6" s="73">
        <v>0</v>
      </c>
    </row>
    <row r="7" spans="2:14" x14ac:dyDescent="0.3">
      <c r="B7" s="267"/>
      <c r="C7" s="265"/>
      <c r="D7" s="265"/>
      <c r="E7" s="265"/>
      <c r="F7" s="265"/>
      <c r="G7" s="107" t="str">
        <f>'Practices and Requirements'!C25</f>
        <v>T-ADI-ART-3-1</v>
      </c>
      <c r="H7" s="107" t="str">
        <f>'Practices and Requirements'!E25</f>
        <v>To be filled</v>
      </c>
      <c r="I7" s="107">
        <f>'Practices and Requirements'!V25</f>
        <v>0</v>
      </c>
      <c r="J7" s="73">
        <v>0</v>
      </c>
    </row>
    <row r="8" spans="2:14" x14ac:dyDescent="0.3">
      <c r="B8" s="267">
        <v>5</v>
      </c>
      <c r="C8" s="265" t="s">
        <v>911</v>
      </c>
      <c r="D8" s="265" t="s">
        <v>912</v>
      </c>
      <c r="E8" s="265" t="s">
        <v>921</v>
      </c>
      <c r="F8" s="265" t="s">
        <v>922</v>
      </c>
      <c r="G8" s="107"/>
      <c r="H8" s="107"/>
      <c r="I8" s="107"/>
      <c r="J8" s="73">
        <v>0</v>
      </c>
    </row>
    <row r="9" spans="2:14" x14ac:dyDescent="0.3">
      <c r="B9" s="267"/>
      <c r="C9" s="265"/>
      <c r="D9" s="265"/>
      <c r="E9" s="265"/>
      <c r="F9" s="265"/>
      <c r="G9" s="107"/>
      <c r="H9" s="107"/>
      <c r="I9" s="107"/>
      <c r="J9" s="73">
        <v>0</v>
      </c>
    </row>
    <row r="10" spans="2:14" x14ac:dyDescent="0.3">
      <c r="B10" s="61">
        <v>6</v>
      </c>
      <c r="C10" s="72" t="s">
        <v>911</v>
      </c>
      <c r="D10" s="72" t="s">
        <v>912</v>
      </c>
      <c r="E10" s="72" t="s">
        <v>923</v>
      </c>
      <c r="F10" s="73" t="s">
        <v>924</v>
      </c>
      <c r="G10" s="107"/>
      <c r="H10" s="107"/>
      <c r="I10" s="107"/>
      <c r="J10" s="73">
        <v>0</v>
      </c>
    </row>
    <row r="11" spans="2:14" x14ac:dyDescent="0.3">
      <c r="B11" s="267">
        <v>7</v>
      </c>
      <c r="C11" s="265" t="s">
        <v>911</v>
      </c>
      <c r="D11" s="265" t="s">
        <v>925</v>
      </c>
      <c r="E11" s="265" t="s">
        <v>926</v>
      </c>
      <c r="F11" s="265" t="s">
        <v>927</v>
      </c>
      <c r="G11" s="107" t="str">
        <f>'Practices and Requirements'!C37</f>
        <v>T-DEV-SM-0-1</v>
      </c>
      <c r="H11" s="107" t="str">
        <f>'Practices and Requirements'!E37</f>
        <v>To be filled</v>
      </c>
      <c r="I11" s="107">
        <f>'Practices and Requirements'!V37</f>
        <v>0</v>
      </c>
      <c r="J11" s="73">
        <v>0</v>
      </c>
    </row>
    <row r="12" spans="2:14" x14ac:dyDescent="0.3">
      <c r="B12" s="267"/>
      <c r="C12" s="265"/>
      <c r="D12" s="265"/>
      <c r="E12" s="265"/>
      <c r="F12" s="265"/>
      <c r="G12" s="107" t="str">
        <f>'Practices and Requirements'!C38</f>
        <v>T-DEV-SM-1-1</v>
      </c>
      <c r="H12" s="107" t="str">
        <f>'Practices and Requirements'!E38</f>
        <v>To be filled</v>
      </c>
      <c r="I12" s="107">
        <f>'Practices and Requirements'!V38</f>
        <v>0</v>
      </c>
      <c r="J12" s="73">
        <v>0</v>
      </c>
    </row>
    <row r="13" spans="2:14" x14ac:dyDescent="0.3">
      <c r="B13" s="267"/>
      <c r="C13" s="265"/>
      <c r="D13" s="265"/>
      <c r="E13" s="265"/>
      <c r="F13" s="265"/>
      <c r="G13" s="107" t="str">
        <f>'Practices and Requirements'!C40</f>
        <v>T-DEV-SM-2-1</v>
      </c>
      <c r="H13" s="107" t="str">
        <f>'Practices and Requirements'!E40</f>
        <v>To be filled</v>
      </c>
      <c r="I13" s="107">
        <f>'Practices and Requirements'!V40</f>
        <v>0</v>
      </c>
      <c r="J13" s="73">
        <v>0</v>
      </c>
    </row>
    <row r="14" spans="2:14" x14ac:dyDescent="0.3">
      <c r="B14" s="267"/>
      <c r="C14" s="265"/>
      <c r="D14" s="265"/>
      <c r="E14" s="265"/>
      <c r="F14" s="265"/>
      <c r="G14" s="107" t="str">
        <f>'Practices and Requirements'!C216</f>
        <v>T-PROD-SM-1-1</v>
      </c>
      <c r="H14" s="107" t="str">
        <f>'Practices and Requirements'!E216</f>
        <v>To be filled</v>
      </c>
      <c r="I14" s="107">
        <f>'Practices and Requirements'!V216</f>
        <v>0</v>
      </c>
      <c r="J14" s="73">
        <v>0</v>
      </c>
    </row>
    <row r="15" spans="2:14" x14ac:dyDescent="0.3">
      <c r="B15" s="267"/>
      <c r="C15" s="265"/>
      <c r="D15" s="265"/>
      <c r="E15" s="265"/>
      <c r="F15" s="265"/>
      <c r="G15" s="107" t="str">
        <f>'Practices and Requirements'!C218</f>
        <v>T-PROD-SM-2-1</v>
      </c>
      <c r="H15" s="107" t="str">
        <f>'Practices and Requirements'!E218</f>
        <v>To be filled</v>
      </c>
      <c r="I15" s="107">
        <f>'Practices and Requirements'!V218</f>
        <v>0</v>
      </c>
      <c r="J15" s="73">
        <v>0</v>
      </c>
    </row>
    <row r="16" spans="2:14" x14ac:dyDescent="0.3">
      <c r="B16" s="267"/>
      <c r="C16" s="265"/>
      <c r="D16" s="265"/>
      <c r="E16" s="265"/>
      <c r="F16" s="265"/>
      <c r="G16" s="107" t="str">
        <f>'Practices and Requirements'!C42</f>
        <v>T-DEV-SM-3-1</v>
      </c>
      <c r="H16" s="107" t="str">
        <f>'Practices and Requirements'!E42</f>
        <v>To be filled</v>
      </c>
      <c r="I16" s="107">
        <f>'Practices and Requirements'!V42</f>
        <v>0</v>
      </c>
      <c r="J16" s="73">
        <v>0</v>
      </c>
    </row>
    <row r="17" spans="2:10" x14ac:dyDescent="0.3">
      <c r="B17" s="61">
        <v>8</v>
      </c>
      <c r="C17" s="72" t="s">
        <v>911</v>
      </c>
      <c r="D17" s="72" t="s">
        <v>925</v>
      </c>
      <c r="E17" s="72" t="s">
        <v>928</v>
      </c>
      <c r="F17" s="73" t="s">
        <v>929</v>
      </c>
      <c r="G17" s="107"/>
      <c r="H17" s="107"/>
      <c r="I17" s="107"/>
      <c r="J17" s="73">
        <v>0</v>
      </c>
    </row>
    <row r="18" spans="2:10" x14ac:dyDescent="0.3">
      <c r="B18" s="267">
        <v>9</v>
      </c>
      <c r="C18" s="265" t="s">
        <v>911</v>
      </c>
      <c r="D18" s="265" t="s">
        <v>930</v>
      </c>
      <c r="E18" s="265" t="s">
        <v>931</v>
      </c>
      <c r="F18" s="266" t="s">
        <v>932</v>
      </c>
      <c r="G18" s="107" t="str">
        <f>'Practices and Requirements'!C6</f>
        <v>T-ADI-DEP-1-2</v>
      </c>
      <c r="H18" s="107" t="str">
        <f>'Practices and Requirements'!E6</f>
        <v>To be filled</v>
      </c>
      <c r="I18" s="107">
        <f>'Practices and Requirements'!V6</f>
        <v>0</v>
      </c>
      <c r="J18" s="73">
        <v>0</v>
      </c>
    </row>
    <row r="19" spans="2:10" x14ac:dyDescent="0.3">
      <c r="B19" s="267"/>
      <c r="C19" s="265"/>
      <c r="D19" s="265"/>
      <c r="E19" s="265"/>
      <c r="F19" s="266"/>
      <c r="G19" s="107" t="str">
        <f>'Practices and Requirements'!C271</f>
        <v>T-PROD-VULN-1-2</v>
      </c>
      <c r="H19" s="107" t="str">
        <f>'Practices and Requirements'!E271</f>
        <v>To be filled</v>
      </c>
      <c r="I19" s="107">
        <f>'Practices and Requirements'!V271</f>
        <v>0</v>
      </c>
      <c r="J19" s="73">
        <v>0</v>
      </c>
    </row>
    <row r="20" spans="2:10" x14ac:dyDescent="0.3">
      <c r="B20" s="267"/>
      <c r="C20" s="265"/>
      <c r="D20" s="265"/>
      <c r="E20" s="265"/>
      <c r="F20" s="266"/>
      <c r="G20" s="107" t="str">
        <f>'Practices and Requirements'!C200</f>
        <v>T-PREPROD-VULN-1-2</v>
      </c>
      <c r="H20" s="107" t="str">
        <f>'Practices and Requirements'!E200</f>
        <v>To be filled</v>
      </c>
      <c r="I20" s="107">
        <f>'Practices and Requirements'!V200</f>
        <v>0</v>
      </c>
      <c r="J20" s="73">
        <v>0</v>
      </c>
    </row>
    <row r="21" spans="2:10" x14ac:dyDescent="0.3">
      <c r="B21" s="61">
        <v>10</v>
      </c>
      <c r="C21" s="72" t="s">
        <v>911</v>
      </c>
      <c r="D21" s="72" t="s">
        <v>930</v>
      </c>
      <c r="E21" s="72" t="s">
        <v>933</v>
      </c>
      <c r="F21" s="73" t="s">
        <v>934</v>
      </c>
      <c r="G21" s="107" t="str">
        <f>'Practices and Requirements'!C14</f>
        <v>T-ADI-DEP-3-3</v>
      </c>
      <c r="H21" s="107" t="str">
        <f>'Practices and Requirements'!E14</f>
        <v>To be filled</v>
      </c>
      <c r="I21" s="107">
        <f>'Practices and Requirements'!V14</f>
        <v>0</v>
      </c>
      <c r="J21" s="73">
        <v>0</v>
      </c>
    </row>
    <row r="22" spans="2:10" x14ac:dyDescent="0.3">
      <c r="B22" s="61">
        <v>11</v>
      </c>
      <c r="C22" s="72" t="s">
        <v>911</v>
      </c>
      <c r="D22" s="72" t="s">
        <v>925</v>
      </c>
      <c r="E22" s="72" t="s">
        <v>935</v>
      </c>
      <c r="F22" s="73" t="s">
        <v>936</v>
      </c>
      <c r="G22" s="107"/>
      <c r="H22" s="107"/>
      <c r="I22" s="107"/>
      <c r="J22" s="73">
        <v>0</v>
      </c>
    </row>
    <row r="23" spans="2:10" x14ac:dyDescent="0.3">
      <c r="B23" s="61">
        <v>12</v>
      </c>
      <c r="C23" s="72" t="s">
        <v>911</v>
      </c>
      <c r="D23" s="72" t="s">
        <v>930</v>
      </c>
      <c r="E23" s="72" t="s">
        <v>937</v>
      </c>
      <c r="F23" s="73" t="s">
        <v>938</v>
      </c>
      <c r="G23" s="107"/>
      <c r="H23" s="107"/>
      <c r="I23" s="107"/>
      <c r="J23" s="73">
        <v>0</v>
      </c>
    </row>
    <row r="24" spans="2:10" x14ac:dyDescent="0.3">
      <c r="B24" s="61">
        <v>13</v>
      </c>
      <c r="C24" s="72" t="s">
        <v>911</v>
      </c>
      <c r="D24" s="72" t="s">
        <v>925</v>
      </c>
      <c r="E24" s="72" t="s">
        <v>939</v>
      </c>
      <c r="F24" s="73" t="s">
        <v>940</v>
      </c>
      <c r="G24" s="107"/>
      <c r="H24" s="107"/>
      <c r="I24" s="107"/>
      <c r="J24" s="73">
        <v>0</v>
      </c>
    </row>
    <row r="25" spans="2:10" x14ac:dyDescent="0.3">
      <c r="B25" s="61">
        <v>14</v>
      </c>
      <c r="C25" s="72" t="s">
        <v>911</v>
      </c>
      <c r="D25" s="72" t="s">
        <v>930</v>
      </c>
      <c r="E25" s="72" t="s">
        <v>941</v>
      </c>
      <c r="F25" s="73" t="s">
        <v>942</v>
      </c>
      <c r="G25" s="107"/>
      <c r="H25" s="107"/>
      <c r="I25" s="107"/>
      <c r="J25" s="73">
        <v>0</v>
      </c>
    </row>
    <row r="26" spans="2:10" x14ac:dyDescent="0.3">
      <c r="B26" s="61">
        <v>15</v>
      </c>
      <c r="C26" s="72" t="s">
        <v>911</v>
      </c>
      <c r="D26" s="72" t="s">
        <v>930</v>
      </c>
      <c r="E26" s="72" t="s">
        <v>943</v>
      </c>
      <c r="F26" s="73" t="s">
        <v>944</v>
      </c>
      <c r="G26" s="107"/>
      <c r="H26" s="107"/>
      <c r="I26" s="107"/>
      <c r="J26" s="73">
        <v>0</v>
      </c>
    </row>
    <row r="27" spans="2:10" x14ac:dyDescent="0.3">
      <c r="B27" s="61">
        <v>16</v>
      </c>
      <c r="C27" s="72" t="s">
        <v>911</v>
      </c>
      <c r="D27" s="72" t="s">
        <v>930</v>
      </c>
      <c r="E27" s="72" t="s">
        <v>945</v>
      </c>
      <c r="F27" s="73" t="s">
        <v>946</v>
      </c>
      <c r="G27" s="107"/>
      <c r="H27" s="107"/>
      <c r="I27" s="107"/>
      <c r="J27" s="73">
        <v>0</v>
      </c>
    </row>
    <row r="28" spans="2:10" x14ac:dyDescent="0.3">
      <c r="B28" s="61">
        <v>17</v>
      </c>
      <c r="C28" s="72" t="s">
        <v>911</v>
      </c>
      <c r="D28" s="72" t="s">
        <v>930</v>
      </c>
      <c r="E28" s="72" t="s">
        <v>947</v>
      </c>
      <c r="F28" s="73" t="s">
        <v>948</v>
      </c>
      <c r="G28" s="107"/>
      <c r="H28" s="107"/>
      <c r="I28" s="107"/>
      <c r="J28" s="73">
        <v>0</v>
      </c>
    </row>
    <row r="29" spans="2:10" x14ac:dyDescent="0.3">
      <c r="B29" s="61">
        <v>18</v>
      </c>
      <c r="C29" s="72" t="s">
        <v>911</v>
      </c>
      <c r="D29" s="72" t="s">
        <v>930</v>
      </c>
      <c r="E29" s="72" t="s">
        <v>949</v>
      </c>
      <c r="F29" s="73" t="s">
        <v>950</v>
      </c>
      <c r="G29" s="107"/>
      <c r="H29" s="107"/>
      <c r="I29" s="107"/>
      <c r="J29" s="73">
        <v>0</v>
      </c>
    </row>
    <row r="30" spans="2:10" x14ac:dyDescent="0.3">
      <c r="B30" s="61">
        <v>19</v>
      </c>
      <c r="C30" s="72" t="s">
        <v>911</v>
      </c>
      <c r="D30" s="72" t="s">
        <v>925</v>
      </c>
      <c r="E30" s="72" t="s">
        <v>951</v>
      </c>
      <c r="F30" s="73" t="s">
        <v>952</v>
      </c>
      <c r="G30" s="107"/>
      <c r="H30" s="107"/>
      <c r="I30" s="107"/>
      <c r="J30" s="73">
        <v>0</v>
      </c>
    </row>
    <row r="31" spans="2:10" x14ac:dyDescent="0.3">
      <c r="B31" s="61">
        <v>20</v>
      </c>
      <c r="C31" s="72" t="s">
        <v>911</v>
      </c>
      <c r="D31" s="72" t="s">
        <v>925</v>
      </c>
      <c r="E31" s="72" t="s">
        <v>953</v>
      </c>
      <c r="F31" s="73" t="s">
        <v>954</v>
      </c>
      <c r="G31" s="107"/>
      <c r="H31" s="107"/>
      <c r="I31" s="107"/>
      <c r="J31" s="73">
        <v>0</v>
      </c>
    </row>
    <row r="32" spans="2:10" x14ac:dyDescent="0.3">
      <c r="B32" s="61">
        <v>21</v>
      </c>
      <c r="C32" s="72" t="s">
        <v>911</v>
      </c>
      <c r="D32" s="72" t="s">
        <v>925</v>
      </c>
      <c r="E32" s="72" t="s">
        <v>955</v>
      </c>
      <c r="F32" s="73" t="s">
        <v>956</v>
      </c>
      <c r="G32" s="107"/>
      <c r="H32" s="107"/>
      <c r="I32" s="107"/>
      <c r="J32" s="73">
        <v>0</v>
      </c>
    </row>
    <row r="33" spans="2:10" x14ac:dyDescent="0.3">
      <c r="B33" s="61">
        <v>22</v>
      </c>
      <c r="C33" s="72" t="s">
        <v>911</v>
      </c>
      <c r="D33" s="72" t="s">
        <v>925</v>
      </c>
      <c r="E33" s="72" t="s">
        <v>957</v>
      </c>
      <c r="F33" s="73" t="s">
        <v>958</v>
      </c>
      <c r="G33" s="107"/>
      <c r="H33" s="107"/>
      <c r="I33" s="107"/>
      <c r="J33" s="73">
        <v>0</v>
      </c>
    </row>
    <row r="34" spans="2:10" x14ac:dyDescent="0.3">
      <c r="B34" s="61">
        <v>23</v>
      </c>
      <c r="C34" s="72" t="s">
        <v>911</v>
      </c>
      <c r="D34" s="72" t="s">
        <v>925</v>
      </c>
      <c r="E34" s="72" t="s">
        <v>959</v>
      </c>
      <c r="F34" s="73" t="s">
        <v>960</v>
      </c>
      <c r="G34" s="107"/>
      <c r="H34" s="107"/>
      <c r="I34" s="107"/>
      <c r="J34" s="73">
        <v>0</v>
      </c>
    </row>
    <row r="35" spans="2:10" x14ac:dyDescent="0.3">
      <c r="B35" s="61">
        <v>24</v>
      </c>
      <c r="C35" s="72" t="s">
        <v>911</v>
      </c>
      <c r="D35" s="72" t="s">
        <v>925</v>
      </c>
      <c r="E35" s="72" t="s">
        <v>961</v>
      </c>
      <c r="F35" s="73" t="s">
        <v>962</v>
      </c>
      <c r="G35" s="107"/>
      <c r="H35" s="107"/>
      <c r="I35" s="107"/>
      <c r="J35" s="73">
        <v>0</v>
      </c>
    </row>
    <row r="36" spans="2:10" x14ac:dyDescent="0.3">
      <c r="B36" s="61">
        <v>25</v>
      </c>
      <c r="C36" s="72" t="s">
        <v>911</v>
      </c>
      <c r="D36" s="72" t="s">
        <v>925</v>
      </c>
      <c r="E36" s="72" t="s">
        <v>963</v>
      </c>
      <c r="F36" s="73" t="s">
        <v>964</v>
      </c>
      <c r="G36" s="107"/>
      <c r="H36" s="107"/>
      <c r="I36" s="107"/>
      <c r="J36" s="73">
        <v>0</v>
      </c>
    </row>
    <row r="37" spans="2:10" x14ac:dyDescent="0.3">
      <c r="B37" s="61">
        <v>26</v>
      </c>
      <c r="C37" s="72" t="s">
        <v>911</v>
      </c>
      <c r="D37" s="72" t="s">
        <v>925</v>
      </c>
      <c r="E37" s="72" t="s">
        <v>965</v>
      </c>
      <c r="F37" s="94" t="s">
        <v>966</v>
      </c>
      <c r="G37" s="107"/>
      <c r="H37" s="107"/>
      <c r="I37" s="107"/>
      <c r="J37" s="73">
        <v>0</v>
      </c>
    </row>
    <row r="38" spans="2:10" x14ac:dyDescent="0.3">
      <c r="B38" s="61">
        <v>27</v>
      </c>
      <c r="C38" s="72" t="s">
        <v>967</v>
      </c>
      <c r="D38" s="72" t="s">
        <v>644</v>
      </c>
      <c r="E38" s="72" t="s">
        <v>968</v>
      </c>
      <c r="F38" s="73" t="s">
        <v>969</v>
      </c>
      <c r="G38" s="107" t="str">
        <f>'Practices and Requirements'!C307</f>
        <v>P-REQ-TM-0-1</v>
      </c>
      <c r="H38" s="107" t="str">
        <f>'Practices and Requirements'!E307</f>
        <v>To be filled</v>
      </c>
      <c r="I38" s="107">
        <f>'Practices and Requirements'!V307</f>
        <v>0</v>
      </c>
      <c r="J38" s="73">
        <v>0</v>
      </c>
    </row>
    <row r="39" spans="2:10" x14ac:dyDescent="0.3">
      <c r="B39" s="61">
        <v>28</v>
      </c>
      <c r="C39" s="72" t="s">
        <v>967</v>
      </c>
      <c r="D39" s="72" t="s">
        <v>644</v>
      </c>
      <c r="E39" s="72" t="s">
        <v>970</v>
      </c>
      <c r="F39" s="73" t="s">
        <v>971</v>
      </c>
      <c r="G39" s="107" t="str">
        <f>'Practices and Requirements'!C317</f>
        <v>P-REQ-TM-4-1</v>
      </c>
      <c r="H39" s="107" t="str">
        <f>'Practices and Requirements'!E317</f>
        <v>To be filled</v>
      </c>
      <c r="I39" s="107">
        <f>'Practices and Requirements'!V317</f>
        <v>0</v>
      </c>
      <c r="J39" s="73">
        <v>0</v>
      </c>
    </row>
    <row r="40" spans="2:10" x14ac:dyDescent="0.3">
      <c r="B40" s="61">
        <v>29</v>
      </c>
      <c r="C40" s="72" t="s">
        <v>967</v>
      </c>
      <c r="D40" s="72" t="s">
        <v>644</v>
      </c>
      <c r="E40" s="72" t="s">
        <v>972</v>
      </c>
      <c r="F40" s="73" t="s">
        <v>973</v>
      </c>
      <c r="G40" s="107" t="str">
        <f>'Practices and Requirements'!C317</f>
        <v>P-REQ-TM-4-1</v>
      </c>
      <c r="H40" s="107" t="str">
        <f>'Practices and Requirements'!E317</f>
        <v>To be filled</v>
      </c>
      <c r="I40" s="107">
        <f>'Practices and Requirements'!V317</f>
        <v>0</v>
      </c>
      <c r="J40" s="73">
        <v>0</v>
      </c>
    </row>
    <row r="41" spans="2:10" x14ac:dyDescent="0.3">
      <c r="B41" s="267">
        <v>30</v>
      </c>
      <c r="C41" s="265" t="s">
        <v>967</v>
      </c>
      <c r="D41" s="265" t="s">
        <v>644</v>
      </c>
      <c r="E41" s="265" t="s">
        <v>974</v>
      </c>
      <c r="F41" s="266" t="s">
        <v>975</v>
      </c>
      <c r="G41" s="107" t="str">
        <f>'Practices and Requirements'!C307</f>
        <v>P-REQ-TM-0-1</v>
      </c>
      <c r="H41" s="107" t="str">
        <f>'Practices and Requirements'!E307</f>
        <v>To be filled</v>
      </c>
      <c r="I41" s="107">
        <f>'Practices and Requirements'!V307</f>
        <v>0</v>
      </c>
      <c r="J41" s="73">
        <v>0</v>
      </c>
    </row>
    <row r="42" spans="2:10" x14ac:dyDescent="0.3">
      <c r="B42" s="267"/>
      <c r="C42" s="265"/>
      <c r="D42" s="265"/>
      <c r="E42" s="265"/>
      <c r="F42" s="266"/>
      <c r="G42" s="107" t="str">
        <f>'Practices and Requirements'!C315</f>
        <v>P-REQ-TM-3-2</v>
      </c>
      <c r="H42" s="107" t="str">
        <f>'Practices and Requirements'!E315</f>
        <v>To be filled</v>
      </c>
      <c r="I42" s="107">
        <f>'Practices and Requirements'!V315</f>
        <v>0</v>
      </c>
      <c r="J42" s="73">
        <v>0</v>
      </c>
    </row>
    <row r="43" spans="2:10" x14ac:dyDescent="0.3">
      <c r="B43" s="61">
        <v>31</v>
      </c>
      <c r="C43" s="72" t="s">
        <v>967</v>
      </c>
      <c r="D43" s="72" t="s">
        <v>976</v>
      </c>
      <c r="E43" s="72" t="s">
        <v>977</v>
      </c>
      <c r="F43" s="73" t="s">
        <v>978</v>
      </c>
      <c r="G43" s="107"/>
      <c r="H43" s="107"/>
      <c r="I43" s="107"/>
      <c r="J43" s="73">
        <v>0</v>
      </c>
    </row>
    <row r="44" spans="2:10" x14ac:dyDescent="0.3">
      <c r="B44" s="61">
        <v>32</v>
      </c>
      <c r="C44" s="72" t="s">
        <v>967</v>
      </c>
      <c r="D44" s="72" t="s">
        <v>976</v>
      </c>
      <c r="E44" s="72" t="s">
        <v>979</v>
      </c>
      <c r="F44" s="73" t="s">
        <v>980</v>
      </c>
      <c r="G44" s="107"/>
      <c r="H44" s="107"/>
      <c r="I44" s="107"/>
      <c r="J44" s="73">
        <v>0</v>
      </c>
    </row>
    <row r="45" spans="2:10" x14ac:dyDescent="0.3">
      <c r="B45" s="61">
        <v>33</v>
      </c>
      <c r="C45" s="72" t="s">
        <v>967</v>
      </c>
      <c r="D45" s="72" t="s">
        <v>976</v>
      </c>
      <c r="E45" s="72" t="s">
        <v>981</v>
      </c>
      <c r="F45" s="73" t="s">
        <v>982</v>
      </c>
      <c r="G45" s="107" t="str">
        <f>'Practices and Requirements'!C286</f>
        <v>P-EDU-AWR-0-1</v>
      </c>
      <c r="H45" s="107" t="str">
        <f>'Practices and Requirements'!E286</f>
        <v>To be filled</v>
      </c>
      <c r="I45" s="107">
        <f>'Practices and Requirements'!V286</f>
        <v>0</v>
      </c>
      <c r="J45" s="73">
        <v>0</v>
      </c>
    </row>
    <row r="46" spans="2:10" x14ac:dyDescent="0.3">
      <c r="B46" s="61">
        <v>34</v>
      </c>
      <c r="C46" s="72" t="s">
        <v>967</v>
      </c>
      <c r="D46" s="72" t="s">
        <v>976</v>
      </c>
      <c r="E46" s="72" t="s">
        <v>983</v>
      </c>
      <c r="F46" s="73" t="s">
        <v>984</v>
      </c>
      <c r="G46" s="107"/>
      <c r="H46" s="107"/>
      <c r="I46" s="107"/>
      <c r="J46" s="73">
        <v>0</v>
      </c>
    </row>
    <row r="47" spans="2:10" x14ac:dyDescent="0.3">
      <c r="B47" s="61">
        <v>35</v>
      </c>
      <c r="C47" s="72" t="s">
        <v>967</v>
      </c>
      <c r="D47" s="72" t="s">
        <v>976</v>
      </c>
      <c r="E47" s="72" t="s">
        <v>985</v>
      </c>
      <c r="F47" s="73" t="s">
        <v>986</v>
      </c>
      <c r="G47" s="107"/>
      <c r="H47" s="107"/>
      <c r="I47" s="107"/>
      <c r="J47" s="73">
        <v>0</v>
      </c>
    </row>
    <row r="48" spans="2:10" x14ac:dyDescent="0.3">
      <c r="B48" s="267">
        <v>36</v>
      </c>
      <c r="C48" s="265" t="s">
        <v>967</v>
      </c>
      <c r="D48" s="265" t="s">
        <v>976</v>
      </c>
      <c r="E48" s="265" t="s">
        <v>987</v>
      </c>
      <c r="F48" s="266" t="s">
        <v>988</v>
      </c>
      <c r="G48" s="107" t="str">
        <f>'Practices and Requirements'!C287</f>
        <v>P-EDU-AWR-1-1</v>
      </c>
      <c r="H48" s="107" t="str">
        <f>'Practices and Requirements'!E287</f>
        <v>To be filled</v>
      </c>
      <c r="I48" s="107">
        <f>'Practices and Requirements'!V287</f>
        <v>0</v>
      </c>
      <c r="J48" s="73">
        <v>0</v>
      </c>
    </row>
    <row r="49" spans="2:10" x14ac:dyDescent="0.3">
      <c r="B49" s="267"/>
      <c r="C49" s="265"/>
      <c r="D49" s="265"/>
      <c r="E49" s="265"/>
      <c r="F49" s="266"/>
      <c r="G49" s="107" t="str">
        <f>'Practices and Requirements'!C290</f>
        <v>P-EDU-AWR-2-2</v>
      </c>
      <c r="H49" s="107" t="str">
        <f>'Practices and Requirements'!E290</f>
        <v>To be filled</v>
      </c>
      <c r="I49" s="107">
        <f>'Practices and Requirements'!V290</f>
        <v>0</v>
      </c>
      <c r="J49" s="73">
        <v>0</v>
      </c>
    </row>
    <row r="50" spans="2:10" x14ac:dyDescent="0.3">
      <c r="B50" s="61">
        <v>37</v>
      </c>
      <c r="C50" s="72" t="s">
        <v>967</v>
      </c>
      <c r="D50" s="72" t="s">
        <v>976</v>
      </c>
      <c r="E50" s="72" t="s">
        <v>989</v>
      </c>
      <c r="F50" s="73" t="s">
        <v>990</v>
      </c>
      <c r="G50" s="107"/>
      <c r="H50" s="107"/>
      <c r="I50" s="107"/>
      <c r="J50" s="73">
        <v>0</v>
      </c>
    </row>
    <row r="51" spans="2:10" x14ac:dyDescent="0.3">
      <c r="B51" s="61">
        <v>38</v>
      </c>
      <c r="C51" s="72" t="s">
        <v>967</v>
      </c>
      <c r="D51" s="72" t="s">
        <v>644</v>
      </c>
      <c r="E51" s="72" t="s">
        <v>991</v>
      </c>
      <c r="F51" s="73" t="s">
        <v>992</v>
      </c>
      <c r="G51" s="107"/>
      <c r="H51" s="107"/>
      <c r="I51" s="107"/>
      <c r="J51" s="73">
        <v>0</v>
      </c>
    </row>
    <row r="52" spans="2:10" x14ac:dyDescent="0.3">
      <c r="B52" s="61">
        <v>39</v>
      </c>
      <c r="C52" s="72" t="s">
        <v>967</v>
      </c>
      <c r="D52" s="72" t="s">
        <v>976</v>
      </c>
      <c r="E52" s="72" t="s">
        <v>993</v>
      </c>
      <c r="F52" s="73" t="s">
        <v>994</v>
      </c>
      <c r="G52" s="107"/>
      <c r="H52" s="107"/>
      <c r="I52" s="107"/>
      <c r="J52" s="73">
        <v>0</v>
      </c>
    </row>
    <row r="53" spans="2:10" x14ac:dyDescent="0.3">
      <c r="B53" s="267">
        <v>40</v>
      </c>
      <c r="C53" s="265" t="s">
        <v>967</v>
      </c>
      <c r="D53" s="265" t="s">
        <v>644</v>
      </c>
      <c r="E53" s="265" t="s">
        <v>995</v>
      </c>
      <c r="F53" s="266" t="s">
        <v>996</v>
      </c>
      <c r="G53" s="107" t="str">
        <f>'Practices and Requirements'!C307</f>
        <v>P-REQ-TM-0-1</v>
      </c>
      <c r="H53" s="107" t="str">
        <f>'Practices and Requirements'!E307</f>
        <v>To be filled</v>
      </c>
      <c r="I53" s="107">
        <f>'Practices and Requirements'!V307</f>
        <v>0</v>
      </c>
      <c r="J53" s="73">
        <v>0</v>
      </c>
    </row>
    <row r="54" spans="2:10" x14ac:dyDescent="0.3">
      <c r="B54" s="267"/>
      <c r="C54" s="265"/>
      <c r="D54" s="265"/>
      <c r="E54" s="265"/>
      <c r="F54" s="266"/>
      <c r="G54" s="107" t="str">
        <f>'Practices and Requirements'!C314</f>
        <v>P-REQ-TM-3-1</v>
      </c>
      <c r="H54" s="107" t="str">
        <f>'Practices and Requirements'!E314</f>
        <v>To be filled</v>
      </c>
      <c r="I54" s="107">
        <f>'Practices and Requirements'!V314</f>
        <v>0</v>
      </c>
      <c r="J54" s="73">
        <v>0</v>
      </c>
    </row>
    <row r="55" spans="2:10" x14ac:dyDescent="0.3">
      <c r="B55" s="267">
        <v>41</v>
      </c>
      <c r="C55" s="265" t="s">
        <v>967</v>
      </c>
      <c r="D55" s="265" t="s">
        <v>644</v>
      </c>
      <c r="E55" s="265" t="s">
        <v>997</v>
      </c>
      <c r="F55" s="265" t="s">
        <v>998</v>
      </c>
      <c r="G55" s="107" t="str">
        <f>'Practices and Requirements'!C311</f>
        <v>P-REQ-TM-2-1</v>
      </c>
      <c r="H55" s="107" t="str">
        <f>'Practices and Requirements'!E311</f>
        <v>To be filled</v>
      </c>
      <c r="I55" s="107">
        <f>'Practices and Requirements'!V311</f>
        <v>0</v>
      </c>
      <c r="J55" s="73">
        <v>0</v>
      </c>
    </row>
    <row r="56" spans="2:10" x14ac:dyDescent="0.3">
      <c r="B56" s="267"/>
      <c r="C56" s="265"/>
      <c r="D56" s="265"/>
      <c r="E56" s="265"/>
      <c r="F56" s="265"/>
      <c r="G56" s="107" t="str">
        <f>'Practices and Requirements'!C316</f>
        <v>P-REQ-TM-3-3</v>
      </c>
      <c r="H56" s="107" t="str">
        <f>'Practices and Requirements'!E316</f>
        <v>To be filled</v>
      </c>
      <c r="I56" s="107">
        <f>'Practices and Requirements'!V316</f>
        <v>0</v>
      </c>
      <c r="J56" s="73">
        <v>0</v>
      </c>
    </row>
    <row r="57" spans="2:10" x14ac:dyDescent="0.3">
      <c r="B57" s="61">
        <v>42</v>
      </c>
      <c r="C57" s="72" t="s">
        <v>967</v>
      </c>
      <c r="D57" s="72" t="s">
        <v>976</v>
      </c>
      <c r="E57" s="72" t="s">
        <v>999</v>
      </c>
      <c r="F57" s="73" t="s">
        <v>1000</v>
      </c>
      <c r="G57" s="107"/>
      <c r="H57" s="107"/>
      <c r="I57" s="107"/>
      <c r="J57" s="73">
        <v>0</v>
      </c>
    </row>
    <row r="58" spans="2:10" x14ac:dyDescent="0.3">
      <c r="B58" s="61">
        <v>43</v>
      </c>
      <c r="C58" s="72" t="s">
        <v>967</v>
      </c>
      <c r="D58" s="72" t="s">
        <v>976</v>
      </c>
      <c r="E58" s="72" t="s">
        <v>1001</v>
      </c>
      <c r="F58" s="73" t="s">
        <v>1002</v>
      </c>
      <c r="G58" s="107" t="str">
        <f>'Practices and Requirements'!C386</f>
        <v>P-ROLE-SC-2-2</v>
      </c>
      <c r="H58" s="107" t="str">
        <f>'Practices and Requirements'!E386</f>
        <v>To be filled</v>
      </c>
      <c r="I58" s="107">
        <f>'Practices and Requirements'!V386</f>
        <v>0</v>
      </c>
      <c r="J58" s="73">
        <v>0</v>
      </c>
    </row>
    <row r="59" spans="2:10" x14ac:dyDescent="0.3">
      <c r="B59" s="61">
        <v>44</v>
      </c>
      <c r="C59" s="72" t="s">
        <v>967</v>
      </c>
      <c r="D59" s="72" t="s">
        <v>1003</v>
      </c>
      <c r="E59" s="72" t="s">
        <v>1004</v>
      </c>
      <c r="F59" s="73" t="s">
        <v>1005</v>
      </c>
      <c r="G59" s="107"/>
      <c r="H59" s="107"/>
      <c r="I59" s="107"/>
      <c r="J59" s="73">
        <v>0</v>
      </c>
    </row>
    <row r="60" spans="2:10" x14ac:dyDescent="0.3">
      <c r="B60" s="61">
        <v>45</v>
      </c>
      <c r="C60" s="72" t="s">
        <v>967</v>
      </c>
      <c r="D60" s="72" t="s">
        <v>976</v>
      </c>
      <c r="E60" s="72" t="s">
        <v>1006</v>
      </c>
      <c r="F60" s="73" t="s">
        <v>1007</v>
      </c>
      <c r="G60" s="107"/>
      <c r="H60" s="107"/>
      <c r="I60" s="107"/>
      <c r="J60" s="73">
        <v>0</v>
      </c>
    </row>
    <row r="61" spans="2:10" x14ac:dyDescent="0.3">
      <c r="B61" s="61">
        <v>46</v>
      </c>
      <c r="C61" s="72" t="s">
        <v>967</v>
      </c>
      <c r="D61" s="72" t="s">
        <v>1003</v>
      </c>
      <c r="E61" s="72" t="s">
        <v>1008</v>
      </c>
      <c r="F61" s="73" t="s">
        <v>1009</v>
      </c>
      <c r="G61" s="107"/>
      <c r="H61" s="107"/>
      <c r="I61" s="107"/>
      <c r="J61" s="73">
        <v>0</v>
      </c>
    </row>
    <row r="62" spans="2:10" x14ac:dyDescent="0.3">
      <c r="B62" s="61">
        <v>47</v>
      </c>
      <c r="C62" s="72" t="s">
        <v>967</v>
      </c>
      <c r="D62" s="72" t="s">
        <v>976</v>
      </c>
      <c r="E62" s="72" t="s">
        <v>1010</v>
      </c>
      <c r="F62" s="73" t="s">
        <v>1011</v>
      </c>
      <c r="G62" s="107"/>
      <c r="H62" s="107"/>
      <c r="I62" s="107"/>
      <c r="J62" s="73">
        <v>0</v>
      </c>
    </row>
    <row r="63" spans="2:10" x14ac:dyDescent="0.3">
      <c r="B63" s="61">
        <v>48</v>
      </c>
      <c r="C63" s="72" t="s">
        <v>967</v>
      </c>
      <c r="D63" s="72" t="s">
        <v>976</v>
      </c>
      <c r="E63" s="72" t="s">
        <v>1012</v>
      </c>
      <c r="F63" s="73" t="s">
        <v>1013</v>
      </c>
      <c r="G63" s="107"/>
      <c r="H63" s="107"/>
      <c r="I63" s="107"/>
      <c r="J63" s="73">
        <v>0</v>
      </c>
    </row>
    <row r="64" spans="2:10" x14ac:dyDescent="0.3">
      <c r="B64" s="61">
        <v>49</v>
      </c>
      <c r="C64" s="72" t="s">
        <v>967</v>
      </c>
      <c r="D64" s="72" t="s">
        <v>976</v>
      </c>
      <c r="E64" s="72" t="s">
        <v>1014</v>
      </c>
      <c r="F64" s="73" t="s">
        <v>1015</v>
      </c>
      <c r="G64" s="107" t="str">
        <f>'Practices and Requirements'!C293</f>
        <v>P-EDU-AWR-3-1</v>
      </c>
      <c r="H64" s="107" t="str">
        <f>'Practices and Requirements'!E293</f>
        <v>To be filled</v>
      </c>
      <c r="I64" s="107">
        <f>'Practices and Requirements'!V293</f>
        <v>0</v>
      </c>
      <c r="J64" s="73">
        <v>0</v>
      </c>
    </row>
    <row r="65" spans="2:10" x14ac:dyDescent="0.3">
      <c r="B65" s="267">
        <v>50</v>
      </c>
      <c r="C65" s="265" t="s">
        <v>967</v>
      </c>
      <c r="D65" s="265" t="s">
        <v>976</v>
      </c>
      <c r="E65" s="265" t="s">
        <v>1016</v>
      </c>
      <c r="F65" s="265" t="s">
        <v>1017</v>
      </c>
      <c r="G65" s="107" t="str">
        <f>'Practices and Requirements'!C383</f>
        <v>P-ROLE-SC-0-1</v>
      </c>
      <c r="H65" s="107" t="str">
        <f>'Practices and Requirements'!E383</f>
        <v>To be filled</v>
      </c>
      <c r="I65" s="107">
        <f>'Practices and Requirements'!V383</f>
        <v>0</v>
      </c>
      <c r="J65" s="73">
        <v>0</v>
      </c>
    </row>
    <row r="66" spans="2:10" x14ac:dyDescent="0.3">
      <c r="B66" s="267"/>
      <c r="C66" s="265"/>
      <c r="D66" s="265"/>
      <c r="E66" s="265"/>
      <c r="F66" s="265"/>
      <c r="G66" s="107" t="str">
        <f>'Practices and Requirements'!C385</f>
        <v>P-ROLE-SC-2-1</v>
      </c>
      <c r="H66" s="107" t="str">
        <f>'Practices and Requirements'!E385</f>
        <v>To be filled</v>
      </c>
      <c r="I66" s="107">
        <f>'Practices and Requirements'!V385</f>
        <v>0</v>
      </c>
      <c r="J66" s="73">
        <v>0</v>
      </c>
    </row>
    <row r="67" spans="2:10" x14ac:dyDescent="0.3">
      <c r="B67" s="61">
        <v>51</v>
      </c>
      <c r="C67" s="72" t="s">
        <v>967</v>
      </c>
      <c r="D67" s="72" t="s">
        <v>976</v>
      </c>
      <c r="E67" s="72" t="s">
        <v>1018</v>
      </c>
      <c r="F67" s="73" t="s">
        <v>1019</v>
      </c>
      <c r="G67" s="107" t="str">
        <f>'Practices and Requirements'!C291</f>
        <v>P-EDU-AWR-2-3</v>
      </c>
      <c r="H67" s="107" t="str">
        <f>'Practices and Requirements'!E291</f>
        <v>To be filled</v>
      </c>
      <c r="I67" s="107">
        <f>'Practices and Requirements'!V291</f>
        <v>0</v>
      </c>
      <c r="J67" s="73">
        <v>0</v>
      </c>
    </row>
    <row r="68" spans="2:10" x14ac:dyDescent="0.3">
      <c r="B68" s="61">
        <v>52</v>
      </c>
      <c r="C68" s="72" t="s">
        <v>967</v>
      </c>
      <c r="D68" s="72" t="s">
        <v>1003</v>
      </c>
      <c r="E68" s="72" t="s">
        <v>1020</v>
      </c>
      <c r="F68" s="73" t="s">
        <v>1021</v>
      </c>
      <c r="G68" s="107"/>
      <c r="H68" s="107"/>
      <c r="I68" s="107"/>
      <c r="J68" s="73">
        <v>0</v>
      </c>
    </row>
    <row r="69" spans="2:10" x14ac:dyDescent="0.3">
      <c r="B69" s="61">
        <v>53</v>
      </c>
      <c r="C69" s="72" t="s">
        <v>967</v>
      </c>
      <c r="D69" s="72" t="s">
        <v>976</v>
      </c>
      <c r="E69" s="72" t="s">
        <v>1022</v>
      </c>
      <c r="F69" s="73" t="s">
        <v>1023</v>
      </c>
      <c r="G69" s="107" t="str">
        <f>'Practices and Requirements'!C288</f>
        <v>P-EDU-AWR-1-2</v>
      </c>
      <c r="H69" s="107" t="str">
        <f>'Practices and Requirements'!E288</f>
        <v>To be filled</v>
      </c>
      <c r="I69" s="107">
        <f>'Practices and Requirements'!V288</f>
        <v>0</v>
      </c>
      <c r="J69" s="73">
        <v>0</v>
      </c>
    </row>
    <row r="70" spans="2:10" x14ac:dyDescent="0.3">
      <c r="B70" s="61">
        <v>54</v>
      </c>
      <c r="C70" s="72" t="s">
        <v>645</v>
      </c>
      <c r="D70" s="72" t="s">
        <v>1024</v>
      </c>
      <c r="E70" s="72" t="s">
        <v>1025</v>
      </c>
      <c r="F70" s="73" t="s">
        <v>1026</v>
      </c>
      <c r="G70" s="107"/>
      <c r="H70" s="107"/>
      <c r="I70" s="107"/>
      <c r="J70" s="73">
        <v>0</v>
      </c>
    </row>
    <row r="71" spans="2:10" x14ac:dyDescent="0.3">
      <c r="B71" s="61">
        <v>55</v>
      </c>
      <c r="C71" s="72" t="s">
        <v>645</v>
      </c>
      <c r="D71" s="72" t="s">
        <v>1024</v>
      </c>
      <c r="E71" s="72" t="s">
        <v>1027</v>
      </c>
      <c r="F71" s="73" t="s">
        <v>1028</v>
      </c>
      <c r="G71" s="107"/>
      <c r="H71" s="107"/>
      <c r="I71" s="107"/>
      <c r="J71" s="73">
        <v>0</v>
      </c>
    </row>
    <row r="72" spans="2:10" x14ac:dyDescent="0.3">
      <c r="B72" s="267">
        <v>56</v>
      </c>
      <c r="C72" s="265" t="s">
        <v>645</v>
      </c>
      <c r="D72" s="265" t="s">
        <v>1024</v>
      </c>
      <c r="E72" s="265" t="s">
        <v>1029</v>
      </c>
      <c r="F72" s="265" t="s">
        <v>1030</v>
      </c>
      <c r="G72" s="107" t="str">
        <f>'Practices and Requirements'!C8</f>
        <v>T-ADI-DEP-1-4</v>
      </c>
      <c r="H72" s="107" t="str">
        <f>'Practices and Requirements'!E8</f>
        <v>To be filled</v>
      </c>
      <c r="I72" s="107">
        <f>'Practices and Requirements'!V8</f>
        <v>0</v>
      </c>
      <c r="J72" s="73">
        <v>0</v>
      </c>
    </row>
    <row r="73" spans="2:10" x14ac:dyDescent="0.3">
      <c r="B73" s="267"/>
      <c r="C73" s="265"/>
      <c r="D73" s="265"/>
      <c r="E73" s="265"/>
      <c r="F73" s="265"/>
      <c r="G73" s="107" t="str">
        <f>'Practices and Requirements'!C52</f>
        <v>T-DEV-BLD-3-2</v>
      </c>
      <c r="H73" s="107" t="str">
        <f>'Practices and Requirements'!E52</f>
        <v>To be filled</v>
      </c>
      <c r="I73" s="107">
        <f>'Practices and Requirements'!V52</f>
        <v>0</v>
      </c>
      <c r="J73" s="73">
        <v>0</v>
      </c>
    </row>
    <row r="74" spans="2:10" x14ac:dyDescent="0.3">
      <c r="B74" s="267"/>
      <c r="C74" s="265"/>
      <c r="D74" s="265"/>
      <c r="E74" s="265"/>
      <c r="F74" s="265"/>
      <c r="G74" s="107" t="str">
        <f>'Practices and Requirements'!C45</f>
        <v>T-DEV-BLD-0-1</v>
      </c>
      <c r="H74" s="107" t="str">
        <f>'Practices and Requirements'!E45</f>
        <v>To be filled</v>
      </c>
      <c r="I74" s="107">
        <f>'Practices and Requirements'!V45</f>
        <v>0</v>
      </c>
      <c r="J74" s="73">
        <v>0</v>
      </c>
    </row>
    <row r="75" spans="2:10" x14ac:dyDescent="0.3">
      <c r="B75" s="267"/>
      <c r="C75" s="265"/>
      <c r="D75" s="265"/>
      <c r="E75" s="265"/>
      <c r="F75" s="265"/>
      <c r="G75" s="107" t="str">
        <f>'Practices and Requirements'!C95</f>
        <v>T-DEV-CICD-0-1</v>
      </c>
      <c r="H75" s="107" t="str">
        <f>'Practices and Requirements'!E95</f>
        <v>To be filled</v>
      </c>
      <c r="I75" s="107">
        <f>'Practices and Requirements'!V95</f>
        <v>0</v>
      </c>
      <c r="J75" s="73">
        <v>0</v>
      </c>
    </row>
    <row r="76" spans="2:10" x14ac:dyDescent="0.3">
      <c r="B76" s="267">
        <v>57</v>
      </c>
      <c r="C76" s="265" t="s">
        <v>645</v>
      </c>
      <c r="D76" s="265" t="s">
        <v>1024</v>
      </c>
      <c r="E76" s="265" t="s">
        <v>1031</v>
      </c>
      <c r="F76" s="265" t="s">
        <v>1032</v>
      </c>
      <c r="G76" s="107" t="str">
        <f>'Practices and Requirements'!C19</f>
        <v>T-ADI-ART-1-2</v>
      </c>
      <c r="H76" s="107" t="str">
        <f>'Practices and Requirements'!E19</f>
        <v>To be filled</v>
      </c>
      <c r="I76" s="107">
        <f>'Practices and Requirements'!V19</f>
        <v>0</v>
      </c>
      <c r="J76" s="73">
        <v>0</v>
      </c>
    </row>
    <row r="77" spans="2:10" x14ac:dyDescent="0.3">
      <c r="B77" s="267"/>
      <c r="C77" s="265"/>
      <c r="D77" s="265"/>
      <c r="E77" s="265"/>
      <c r="F77" s="265"/>
      <c r="G77" s="107" t="str">
        <f>'Practices and Requirements'!C55</f>
        <v>T-DEV-SCM-0-1</v>
      </c>
      <c r="H77" s="107" t="str">
        <f>'Practices and Requirements'!E55</f>
        <v>To be filled</v>
      </c>
      <c r="I77" s="107">
        <f>'Practices and Requirements'!V55</f>
        <v>0</v>
      </c>
      <c r="J77" s="73">
        <v>0</v>
      </c>
    </row>
    <row r="78" spans="2:10" x14ac:dyDescent="0.3">
      <c r="B78" s="267"/>
      <c r="C78" s="265"/>
      <c r="D78" s="265"/>
      <c r="E78" s="265"/>
      <c r="F78" s="265"/>
      <c r="G78" s="107" t="str">
        <f>'Practices and Requirements'!C56</f>
        <v>T-DEV-SCM-1-1</v>
      </c>
      <c r="H78" s="107" t="str">
        <f>'Practices and Requirements'!E56</f>
        <v>To be filled</v>
      </c>
      <c r="I78" s="107">
        <f>'Practices and Requirements'!V56</f>
        <v>0</v>
      </c>
      <c r="J78" s="73">
        <v>0</v>
      </c>
    </row>
    <row r="79" spans="2:10" x14ac:dyDescent="0.3">
      <c r="B79" s="267"/>
      <c r="C79" s="265"/>
      <c r="D79" s="265"/>
      <c r="E79" s="265"/>
      <c r="F79" s="265"/>
      <c r="G79" s="107" t="str">
        <f>'Practices and Requirements'!C46</f>
        <v>T-DEV-BLD-1-1</v>
      </c>
      <c r="H79" s="107" t="str">
        <f>'Practices and Requirements'!E46</f>
        <v>To be filled</v>
      </c>
      <c r="I79" s="107">
        <f>'Practices and Requirements'!V46</f>
        <v>0</v>
      </c>
      <c r="J79" s="73">
        <v>0</v>
      </c>
    </row>
    <row r="80" spans="2:10" x14ac:dyDescent="0.3">
      <c r="B80" s="267">
        <v>58</v>
      </c>
      <c r="C80" s="265" t="s">
        <v>645</v>
      </c>
      <c r="D80" s="265" t="s">
        <v>1024</v>
      </c>
      <c r="E80" s="265" t="s">
        <v>1033</v>
      </c>
      <c r="F80" s="265" t="s">
        <v>1034</v>
      </c>
      <c r="G80" s="107" t="str">
        <f>'Practices and Requirements'!C19</f>
        <v>T-ADI-ART-1-2</v>
      </c>
      <c r="H80" s="107" t="str">
        <f>'Practices and Requirements'!E19</f>
        <v>To be filled</v>
      </c>
      <c r="I80" s="107">
        <f>'Practices and Requirements'!V19</f>
        <v>0</v>
      </c>
      <c r="J80" s="73">
        <v>0</v>
      </c>
    </row>
    <row r="81" spans="2:10" x14ac:dyDescent="0.3">
      <c r="B81" s="267"/>
      <c r="C81" s="265"/>
      <c r="D81" s="265"/>
      <c r="E81" s="265"/>
      <c r="F81" s="265"/>
      <c r="G81" s="107" t="str">
        <f>'Practices and Requirements'!C46</f>
        <v>T-DEV-BLD-1-1</v>
      </c>
      <c r="H81" s="107" t="str">
        <f>'Practices and Requirements'!E46</f>
        <v>To be filled</v>
      </c>
      <c r="I81" s="107">
        <f>'Practices and Requirements'!V46</f>
        <v>0</v>
      </c>
      <c r="J81" s="73">
        <v>0</v>
      </c>
    </row>
    <row r="82" spans="2:10" x14ac:dyDescent="0.3">
      <c r="B82" s="267">
        <v>59</v>
      </c>
      <c r="C82" s="265" t="s">
        <v>645</v>
      </c>
      <c r="D82" s="265" t="s">
        <v>1024</v>
      </c>
      <c r="E82" s="265" t="s">
        <v>1035</v>
      </c>
      <c r="F82" s="265" t="s">
        <v>1036</v>
      </c>
      <c r="G82" s="107" t="str">
        <f>'Practices and Requirements'!C20</f>
        <v>T-ADI-ART-1-3</v>
      </c>
      <c r="H82" s="107" t="str">
        <f>'Practices and Requirements'!E20</f>
        <v>To be filled</v>
      </c>
      <c r="I82" s="107">
        <f>'Practices and Requirements'!V20</f>
        <v>0</v>
      </c>
      <c r="J82" s="73">
        <v>0</v>
      </c>
    </row>
    <row r="83" spans="2:10" x14ac:dyDescent="0.3">
      <c r="B83" s="267"/>
      <c r="C83" s="265"/>
      <c r="D83" s="265"/>
      <c r="E83" s="265"/>
      <c r="F83" s="265"/>
      <c r="G83" s="107" t="str">
        <f>'Practices and Requirements'!C71</f>
        <v>T-DEV-SCM-3-3</v>
      </c>
      <c r="H83" s="107" t="str">
        <f>'Practices and Requirements'!E71</f>
        <v>To be filled</v>
      </c>
      <c r="I83" s="107">
        <f>'Practices and Requirements'!V71</f>
        <v>0</v>
      </c>
      <c r="J83" s="73">
        <v>0</v>
      </c>
    </row>
    <row r="84" spans="2:10" x14ac:dyDescent="0.3">
      <c r="B84" s="267"/>
      <c r="C84" s="265"/>
      <c r="D84" s="265"/>
      <c r="E84" s="265"/>
      <c r="F84" s="265"/>
      <c r="G84" s="107" t="str">
        <f>'Practices and Requirements'!C26</f>
        <v>T-ADI-ART-3-2</v>
      </c>
      <c r="H84" s="107" t="str">
        <f>'Practices and Requirements'!E26</f>
        <v>To be filled</v>
      </c>
      <c r="I84" s="107">
        <f>'Practices and Requirements'!V26</f>
        <v>0</v>
      </c>
      <c r="J84" s="73">
        <v>0</v>
      </c>
    </row>
    <row r="85" spans="2:10" x14ac:dyDescent="0.3">
      <c r="B85" s="267">
        <v>60</v>
      </c>
      <c r="C85" s="265" t="s">
        <v>645</v>
      </c>
      <c r="D85" s="265" t="s">
        <v>1024</v>
      </c>
      <c r="E85" s="265" t="s">
        <v>1037</v>
      </c>
      <c r="F85" s="265" t="s">
        <v>1038</v>
      </c>
      <c r="G85" s="107" t="str">
        <f>'Practices and Requirements'!C19</f>
        <v>T-ADI-ART-1-2</v>
      </c>
      <c r="H85" s="107" t="str">
        <f>'Practices and Requirements'!E19</f>
        <v>To be filled</v>
      </c>
      <c r="I85" s="107">
        <f>'Practices and Requirements'!V19</f>
        <v>0</v>
      </c>
      <c r="J85" s="73">
        <v>0</v>
      </c>
    </row>
    <row r="86" spans="2:10" x14ac:dyDescent="0.3">
      <c r="B86" s="267"/>
      <c r="C86" s="265"/>
      <c r="D86" s="265"/>
      <c r="E86" s="265"/>
      <c r="F86" s="265"/>
      <c r="G86" s="107" t="str">
        <f>'Practices and Requirements'!C71</f>
        <v>T-DEV-SCM-3-3</v>
      </c>
      <c r="H86" s="107" t="str">
        <f>'Practices and Requirements'!E71</f>
        <v>To be filled</v>
      </c>
      <c r="I86" s="107">
        <f>'Practices and Requirements'!V71</f>
        <v>0</v>
      </c>
      <c r="J86" s="73">
        <v>0</v>
      </c>
    </row>
    <row r="87" spans="2:10" x14ac:dyDescent="0.3">
      <c r="B87" s="267"/>
      <c r="C87" s="265"/>
      <c r="D87" s="265"/>
      <c r="E87" s="265"/>
      <c r="F87" s="265"/>
      <c r="G87" s="107" t="str">
        <f>'Practices and Requirements'!C26</f>
        <v>T-ADI-ART-3-2</v>
      </c>
      <c r="H87" s="107" t="str">
        <f>'Practices and Requirements'!E26</f>
        <v>To be filled</v>
      </c>
      <c r="I87" s="107">
        <f>'Practices and Requirements'!V26</f>
        <v>0</v>
      </c>
      <c r="J87" s="73">
        <v>0</v>
      </c>
    </row>
    <row r="88" spans="2:10" x14ac:dyDescent="0.3">
      <c r="B88" s="267"/>
      <c r="C88" s="265"/>
      <c r="D88" s="265"/>
      <c r="E88" s="265"/>
      <c r="F88" s="265"/>
      <c r="G88" s="107" t="str">
        <f>'Practices and Requirements'!C20</f>
        <v>T-ADI-ART-1-3</v>
      </c>
      <c r="H88" s="107" t="str">
        <f>'Practices and Requirements'!E20</f>
        <v>To be filled</v>
      </c>
      <c r="I88" s="107">
        <f>'Practices and Requirements'!V20</f>
        <v>0</v>
      </c>
      <c r="J88" s="73">
        <v>0</v>
      </c>
    </row>
    <row r="89" spans="2:10" x14ac:dyDescent="0.3">
      <c r="B89" s="61">
        <v>61</v>
      </c>
      <c r="C89" s="72" t="s">
        <v>645</v>
      </c>
      <c r="D89" s="72" t="s">
        <v>1039</v>
      </c>
      <c r="E89" s="72" t="s">
        <v>1040</v>
      </c>
      <c r="F89" s="73" t="s">
        <v>1041</v>
      </c>
      <c r="G89" s="107"/>
      <c r="H89" s="107"/>
      <c r="I89" s="107"/>
      <c r="J89" s="73">
        <v>0</v>
      </c>
    </row>
    <row r="90" spans="2:10" x14ac:dyDescent="0.3">
      <c r="B90" s="61">
        <v>62</v>
      </c>
      <c r="C90" s="72" t="s">
        <v>645</v>
      </c>
      <c r="D90" s="72" t="s">
        <v>1024</v>
      </c>
      <c r="E90" s="72" t="s">
        <v>1042</v>
      </c>
      <c r="F90" s="73" t="s">
        <v>1043</v>
      </c>
      <c r="G90" s="107"/>
      <c r="H90" s="107"/>
      <c r="I90" s="107"/>
      <c r="J90" s="73">
        <v>0</v>
      </c>
    </row>
    <row r="91" spans="2:10" x14ac:dyDescent="0.3">
      <c r="B91" s="61">
        <v>63</v>
      </c>
      <c r="C91" s="72" t="s">
        <v>645</v>
      </c>
      <c r="D91" s="72" t="s">
        <v>1039</v>
      </c>
      <c r="E91" s="72" t="s">
        <v>1044</v>
      </c>
      <c r="F91" s="73" t="s">
        <v>1045</v>
      </c>
      <c r="G91" s="107" t="str">
        <f>'Practices and Requirements'!C94</f>
        <v>T-DEV-SRC-4-1</v>
      </c>
      <c r="H91" s="107" t="str">
        <f>'Practices and Requirements'!E94</f>
        <v>To be filled</v>
      </c>
      <c r="I91" s="107">
        <f>'Practices and Requirements'!V94</f>
        <v>0</v>
      </c>
      <c r="J91" s="73">
        <v>0</v>
      </c>
    </row>
    <row r="92" spans="2:10" x14ac:dyDescent="0.3">
      <c r="B92" s="61">
        <v>64</v>
      </c>
      <c r="C92" s="72" t="s">
        <v>645</v>
      </c>
      <c r="D92" s="72" t="s">
        <v>1039</v>
      </c>
      <c r="E92" s="72" t="s">
        <v>1046</v>
      </c>
      <c r="F92" s="73" t="s">
        <v>1047</v>
      </c>
      <c r="G92" s="107"/>
      <c r="H92" s="107"/>
      <c r="I92" s="107"/>
      <c r="J92" s="73">
        <v>0</v>
      </c>
    </row>
    <row r="93" spans="2:10" x14ac:dyDescent="0.3">
      <c r="B93" s="61">
        <v>65</v>
      </c>
      <c r="C93" s="72" t="s">
        <v>645</v>
      </c>
      <c r="D93" s="72" t="s">
        <v>1039</v>
      </c>
      <c r="E93" s="72" t="s">
        <v>1048</v>
      </c>
      <c r="F93" s="73" t="s">
        <v>1049</v>
      </c>
      <c r="G93" s="107" t="str">
        <f>'Practices and Requirements'!C87</f>
        <v>T-DEV-SRC-2-6</v>
      </c>
      <c r="H93" s="107" t="str">
        <f>'Practices and Requirements'!E87</f>
        <v>To be filled</v>
      </c>
      <c r="I93" s="107">
        <f>'Practices and Requirements'!V87</f>
        <v>0</v>
      </c>
      <c r="J93" s="73">
        <v>0</v>
      </c>
    </row>
    <row r="94" spans="2:10" x14ac:dyDescent="0.3">
      <c r="B94" s="61">
        <v>66</v>
      </c>
      <c r="C94" s="72" t="s">
        <v>645</v>
      </c>
      <c r="D94" s="72" t="s">
        <v>1024</v>
      </c>
      <c r="E94" s="72" t="s">
        <v>1050</v>
      </c>
      <c r="F94" s="73" t="s">
        <v>1051</v>
      </c>
      <c r="G94" s="107"/>
      <c r="H94" s="107"/>
      <c r="I94" s="107"/>
      <c r="J94" s="73">
        <v>0</v>
      </c>
    </row>
    <row r="95" spans="2:10" x14ac:dyDescent="0.3">
      <c r="B95" s="61">
        <v>67</v>
      </c>
      <c r="C95" s="72" t="s">
        <v>645</v>
      </c>
      <c r="D95" s="72" t="s">
        <v>1039</v>
      </c>
      <c r="E95" s="72" t="s">
        <v>1052</v>
      </c>
      <c r="F95" s="73" t="s">
        <v>1053</v>
      </c>
      <c r="G95" s="107"/>
      <c r="H95" s="107"/>
      <c r="I95" s="107"/>
      <c r="J95" s="73">
        <v>0</v>
      </c>
    </row>
    <row r="96" spans="2:10" x14ac:dyDescent="0.3">
      <c r="B96" s="267">
        <v>68</v>
      </c>
      <c r="C96" s="265" t="s">
        <v>645</v>
      </c>
      <c r="D96" s="265" t="s">
        <v>1039</v>
      </c>
      <c r="E96" s="265" t="s">
        <v>1054</v>
      </c>
      <c r="F96" s="265" t="s">
        <v>1055</v>
      </c>
      <c r="G96" s="107" t="str">
        <f>'Practices and Requirements'!C83</f>
        <v>T-DEV-SRC-2-2</v>
      </c>
      <c r="H96" s="107" t="str">
        <f>'Practices and Requirements'!E83</f>
        <v>To be filled</v>
      </c>
      <c r="I96" s="107">
        <f>'Practices and Requirements'!V83</f>
        <v>0</v>
      </c>
      <c r="J96" s="73">
        <v>0</v>
      </c>
    </row>
    <row r="97" spans="2:10" x14ac:dyDescent="0.3">
      <c r="B97" s="267"/>
      <c r="C97" s="265"/>
      <c r="D97" s="265"/>
      <c r="E97" s="265"/>
      <c r="F97" s="265"/>
      <c r="G97" s="107" t="str">
        <f>'Practices and Requirements'!C93</f>
        <v>T-DEV-SRC-3-6</v>
      </c>
      <c r="H97" s="107" t="str">
        <f>'Practices and Requirements'!E93</f>
        <v>To be filled</v>
      </c>
      <c r="I97" s="107">
        <f>'Practices and Requirements'!V93</f>
        <v>0</v>
      </c>
      <c r="J97" s="73">
        <v>0</v>
      </c>
    </row>
    <row r="98" spans="2:10" x14ac:dyDescent="0.3">
      <c r="B98" s="61">
        <v>69</v>
      </c>
      <c r="C98" s="72" t="s">
        <v>645</v>
      </c>
      <c r="D98" s="72" t="s">
        <v>1056</v>
      </c>
      <c r="E98" s="72" t="s">
        <v>1057</v>
      </c>
      <c r="F98" s="73" t="s">
        <v>1058</v>
      </c>
      <c r="G98" s="107"/>
      <c r="H98" s="107"/>
      <c r="I98" s="107"/>
      <c r="J98" s="73">
        <v>0</v>
      </c>
    </row>
    <row r="99" spans="2:10" x14ac:dyDescent="0.3">
      <c r="B99" s="61">
        <v>70</v>
      </c>
      <c r="C99" s="72" t="s">
        <v>645</v>
      </c>
      <c r="D99" s="72" t="s">
        <v>1056</v>
      </c>
      <c r="E99" s="72" t="s">
        <v>1059</v>
      </c>
      <c r="F99" s="73" t="s">
        <v>1060</v>
      </c>
      <c r="G99" s="107"/>
      <c r="H99" s="107"/>
      <c r="I99" s="107"/>
      <c r="J99" s="73">
        <v>0</v>
      </c>
    </row>
    <row r="100" spans="2:10" x14ac:dyDescent="0.3">
      <c r="B100" s="61">
        <v>71</v>
      </c>
      <c r="C100" s="72" t="s">
        <v>645</v>
      </c>
      <c r="D100" s="72" t="s">
        <v>1056</v>
      </c>
      <c r="E100" s="72" t="s">
        <v>1061</v>
      </c>
      <c r="F100" s="73" t="s">
        <v>1062</v>
      </c>
      <c r="G100" s="107"/>
      <c r="H100" s="107"/>
      <c r="I100" s="107"/>
      <c r="J100" s="73">
        <v>0</v>
      </c>
    </row>
    <row r="101" spans="2:10" x14ac:dyDescent="0.3">
      <c r="B101" s="61">
        <v>72</v>
      </c>
      <c r="C101" s="72" t="s">
        <v>645</v>
      </c>
      <c r="D101" s="72" t="s">
        <v>1056</v>
      </c>
      <c r="E101" s="72" t="s">
        <v>1063</v>
      </c>
      <c r="F101" s="73" t="s">
        <v>1064</v>
      </c>
      <c r="G101" s="107"/>
      <c r="H101" s="107"/>
      <c r="I101" s="107"/>
      <c r="J101" s="73">
        <v>0</v>
      </c>
    </row>
    <row r="102" spans="2:10" x14ac:dyDescent="0.3">
      <c r="B102" s="61">
        <v>73</v>
      </c>
      <c r="C102" s="72" t="s">
        <v>645</v>
      </c>
      <c r="D102" s="72" t="s">
        <v>1056</v>
      </c>
      <c r="E102" s="72" t="s">
        <v>1065</v>
      </c>
      <c r="F102" s="73" t="s">
        <v>1066</v>
      </c>
      <c r="G102" s="107"/>
      <c r="H102" s="107"/>
      <c r="I102" s="107"/>
      <c r="J102" s="73">
        <v>0</v>
      </c>
    </row>
    <row r="103" spans="2:10" x14ac:dyDescent="0.3">
      <c r="B103" s="61">
        <v>74</v>
      </c>
      <c r="C103" s="72" t="s">
        <v>645</v>
      </c>
      <c r="D103" s="72" t="s">
        <v>1056</v>
      </c>
      <c r="E103" s="72" t="s">
        <v>1067</v>
      </c>
      <c r="F103" s="73" t="s">
        <v>1068</v>
      </c>
      <c r="G103" s="107"/>
      <c r="H103" s="107"/>
      <c r="I103" s="107"/>
      <c r="J103" s="73">
        <v>0</v>
      </c>
    </row>
    <row r="104" spans="2:10" x14ac:dyDescent="0.3">
      <c r="B104" s="61">
        <v>75</v>
      </c>
      <c r="C104" s="72" t="s">
        <v>645</v>
      </c>
      <c r="D104" s="72" t="s">
        <v>1056</v>
      </c>
      <c r="E104" s="72" t="s">
        <v>1069</v>
      </c>
      <c r="F104" s="73" t="s">
        <v>1070</v>
      </c>
      <c r="G104" s="107"/>
      <c r="H104" s="107"/>
      <c r="I104" s="107"/>
      <c r="J104" s="73">
        <v>0</v>
      </c>
    </row>
    <row r="105" spans="2:10" x14ac:dyDescent="0.3">
      <c r="B105" s="61">
        <v>76</v>
      </c>
      <c r="C105" s="72" t="s">
        <v>645</v>
      </c>
      <c r="D105" s="72" t="s">
        <v>1056</v>
      </c>
      <c r="E105" s="72" t="s">
        <v>1071</v>
      </c>
      <c r="F105" s="73" t="s">
        <v>1072</v>
      </c>
      <c r="G105" s="107"/>
      <c r="H105" s="107"/>
      <c r="I105" s="107"/>
      <c r="J105" s="73">
        <v>0</v>
      </c>
    </row>
    <row r="106" spans="2:10" x14ac:dyDescent="0.3">
      <c r="B106" s="61">
        <v>77</v>
      </c>
      <c r="C106" s="72" t="s">
        <v>645</v>
      </c>
      <c r="D106" s="72" t="s">
        <v>1056</v>
      </c>
      <c r="E106" s="72" t="s">
        <v>1073</v>
      </c>
      <c r="F106" s="73" t="s">
        <v>1074</v>
      </c>
      <c r="G106" s="107"/>
      <c r="H106" s="107"/>
      <c r="I106" s="107"/>
      <c r="J106" s="73">
        <v>0</v>
      </c>
    </row>
    <row r="107" spans="2:10" x14ac:dyDescent="0.3">
      <c r="B107" s="61">
        <v>78</v>
      </c>
      <c r="C107" s="72" t="s">
        <v>645</v>
      </c>
      <c r="D107" s="72" t="s">
        <v>1024</v>
      </c>
      <c r="E107" s="72" t="s">
        <v>1075</v>
      </c>
      <c r="F107" s="73" t="s">
        <v>1076</v>
      </c>
      <c r="G107" s="107"/>
      <c r="H107" s="107"/>
      <c r="I107" s="107"/>
      <c r="J107" s="73">
        <v>0</v>
      </c>
    </row>
    <row r="108" spans="2:10" x14ac:dyDescent="0.3">
      <c r="B108" s="61">
        <v>79</v>
      </c>
      <c r="C108" s="72" t="s">
        <v>645</v>
      </c>
      <c r="D108" s="72" t="s">
        <v>1039</v>
      </c>
      <c r="E108" s="72" t="s">
        <v>1077</v>
      </c>
      <c r="F108" s="73" t="s">
        <v>1078</v>
      </c>
      <c r="G108" s="107" t="str">
        <f>'Practices and Requirements'!C76</f>
        <v>T-DEV-SRC-0-1</v>
      </c>
      <c r="H108" s="107" t="str">
        <f>'Practices and Requirements'!E76</f>
        <v>To be filled</v>
      </c>
      <c r="I108" s="107">
        <f>'Practices and Requirements'!V76</f>
        <v>0</v>
      </c>
      <c r="J108" s="73">
        <v>0</v>
      </c>
    </row>
    <row r="109" spans="2:10" x14ac:dyDescent="0.3">
      <c r="B109" s="61">
        <v>80</v>
      </c>
      <c r="C109" s="72" t="s">
        <v>645</v>
      </c>
      <c r="D109" s="72" t="s">
        <v>1024</v>
      </c>
      <c r="E109" s="72" t="s">
        <v>1079</v>
      </c>
      <c r="F109" s="73" t="s">
        <v>1080</v>
      </c>
      <c r="G109" s="107"/>
      <c r="H109" s="107"/>
      <c r="I109" s="107"/>
      <c r="J109" s="73">
        <v>0</v>
      </c>
    </row>
    <row r="110" spans="2:10" x14ac:dyDescent="0.3">
      <c r="B110" s="61">
        <v>81</v>
      </c>
      <c r="C110" s="72" t="s">
        <v>645</v>
      </c>
      <c r="D110" s="72" t="s">
        <v>1024</v>
      </c>
      <c r="E110" s="72" t="s">
        <v>1081</v>
      </c>
      <c r="F110" s="73" t="s">
        <v>1082</v>
      </c>
      <c r="G110" s="107"/>
      <c r="H110" s="107"/>
      <c r="I110" s="107"/>
      <c r="J110" s="73">
        <v>0</v>
      </c>
    </row>
    <row r="111" spans="2:10" x14ac:dyDescent="0.3">
      <c r="B111" s="61">
        <v>82</v>
      </c>
      <c r="C111" s="72" t="s">
        <v>645</v>
      </c>
      <c r="D111" s="72" t="s">
        <v>1024</v>
      </c>
      <c r="E111" s="72" t="s">
        <v>1083</v>
      </c>
      <c r="F111" s="73" t="s">
        <v>1084</v>
      </c>
      <c r="G111" s="107"/>
      <c r="H111" s="107"/>
      <c r="I111" s="107"/>
      <c r="J111" s="73">
        <v>0</v>
      </c>
    </row>
    <row r="112" spans="2:10" x14ac:dyDescent="0.3">
      <c r="B112" s="267">
        <v>83</v>
      </c>
      <c r="C112" s="265" t="s">
        <v>645</v>
      </c>
      <c r="D112" s="265" t="s">
        <v>1024</v>
      </c>
      <c r="E112" s="265" t="s">
        <v>1085</v>
      </c>
      <c r="F112" s="265" t="s">
        <v>1086</v>
      </c>
      <c r="G112" s="107" t="str">
        <f>'Practices and Requirements'!C8</f>
        <v>T-ADI-DEP-1-4</v>
      </c>
      <c r="H112" s="107" t="str">
        <f>'Practices and Requirements'!E8</f>
        <v>To be filled</v>
      </c>
      <c r="I112" s="107">
        <f>'Practices and Requirements'!V8</f>
        <v>0</v>
      </c>
      <c r="J112" s="73">
        <v>0</v>
      </c>
    </row>
    <row r="113" spans="2:10" x14ac:dyDescent="0.3">
      <c r="B113" s="267"/>
      <c r="C113" s="265"/>
      <c r="D113" s="265"/>
      <c r="E113" s="265"/>
      <c r="F113" s="265"/>
      <c r="G113" s="107" t="str">
        <f>'Practices and Requirements'!C52</f>
        <v>T-DEV-BLD-3-2</v>
      </c>
      <c r="H113" s="107" t="str">
        <f>'Practices and Requirements'!E52</f>
        <v>To be filled</v>
      </c>
      <c r="I113" s="107">
        <f>'Practices and Requirements'!V52</f>
        <v>0</v>
      </c>
      <c r="J113" s="73">
        <v>0</v>
      </c>
    </row>
    <row r="114" spans="2:10" x14ac:dyDescent="0.3">
      <c r="B114" s="267"/>
      <c r="C114" s="265"/>
      <c r="D114" s="265"/>
      <c r="E114" s="265"/>
      <c r="F114" s="265"/>
      <c r="G114" s="107" t="str">
        <f>'Practices and Requirements'!C45</f>
        <v>T-DEV-BLD-0-1</v>
      </c>
      <c r="H114" s="107" t="str">
        <f>'Practices and Requirements'!E45</f>
        <v>To be filled</v>
      </c>
      <c r="I114" s="107">
        <f>'Practices and Requirements'!V45</f>
        <v>0</v>
      </c>
      <c r="J114" s="73">
        <v>0</v>
      </c>
    </row>
    <row r="115" spans="2:10" x14ac:dyDescent="0.3">
      <c r="B115" s="267"/>
      <c r="C115" s="265"/>
      <c r="D115" s="265"/>
      <c r="E115" s="265"/>
      <c r="F115" s="265"/>
      <c r="G115" s="107" t="str">
        <f>'Practices and Requirements'!C95</f>
        <v>T-DEV-CICD-0-1</v>
      </c>
      <c r="H115" s="107" t="str">
        <f>'Practices and Requirements'!E95</f>
        <v>To be filled</v>
      </c>
      <c r="I115" s="107">
        <f>'Practices and Requirements'!V95</f>
        <v>0</v>
      </c>
      <c r="J115" s="73">
        <v>0</v>
      </c>
    </row>
    <row r="116" spans="2:10" x14ac:dyDescent="0.3">
      <c r="B116" s="61">
        <v>84</v>
      </c>
      <c r="C116" s="72" t="s">
        <v>645</v>
      </c>
      <c r="D116" s="72" t="s">
        <v>1024</v>
      </c>
      <c r="E116" s="72" t="s">
        <v>1087</v>
      </c>
      <c r="F116" s="73" t="s">
        <v>1088</v>
      </c>
      <c r="G116" s="107"/>
      <c r="H116" s="107"/>
      <c r="I116" s="107"/>
      <c r="J116" s="73">
        <v>0</v>
      </c>
    </row>
    <row r="117" spans="2:10" x14ac:dyDescent="0.3">
      <c r="B117" s="61">
        <v>85</v>
      </c>
      <c r="C117" s="72" t="s">
        <v>645</v>
      </c>
      <c r="D117" s="72" t="s">
        <v>1024</v>
      </c>
      <c r="E117" s="72" t="s">
        <v>1089</v>
      </c>
      <c r="F117" s="73" t="s">
        <v>1090</v>
      </c>
      <c r="G117" s="107"/>
      <c r="H117" s="107"/>
      <c r="I117" s="107"/>
      <c r="J117" s="73">
        <v>0</v>
      </c>
    </row>
    <row r="118" spans="2:10" x14ac:dyDescent="0.3">
      <c r="B118" s="267">
        <v>86</v>
      </c>
      <c r="C118" s="265" t="s">
        <v>645</v>
      </c>
      <c r="D118" s="265" t="s">
        <v>1024</v>
      </c>
      <c r="E118" s="265" t="s">
        <v>1091</v>
      </c>
      <c r="F118" s="265" t="s">
        <v>1092</v>
      </c>
      <c r="G118" s="107" t="str">
        <f>'Practices and Requirements'!C249</f>
        <v>T-PROD-ACCESS-0-1</v>
      </c>
      <c r="H118" s="107" t="str">
        <f>'Practices and Requirements'!E249</f>
        <v>To be filled</v>
      </c>
      <c r="I118" s="107">
        <f>'Practices and Requirements'!V249</f>
        <v>0</v>
      </c>
      <c r="J118" s="73">
        <v>0</v>
      </c>
    </row>
    <row r="119" spans="2:10" x14ac:dyDescent="0.3">
      <c r="B119" s="267"/>
      <c r="C119" s="265"/>
      <c r="D119" s="265"/>
      <c r="E119" s="265"/>
      <c r="F119" s="265"/>
      <c r="G119" s="107" t="str">
        <f>'Practices and Requirements'!C251</f>
        <v>T-PROD-ACCESS-1-2</v>
      </c>
      <c r="H119" s="107" t="str">
        <f>'Practices and Requirements'!E251</f>
        <v>To be filled</v>
      </c>
      <c r="I119" s="107">
        <f>'Practices and Requirements'!V251</f>
        <v>0</v>
      </c>
      <c r="J119" s="73">
        <v>0</v>
      </c>
    </row>
    <row r="120" spans="2:10" x14ac:dyDescent="0.3">
      <c r="B120" s="61">
        <v>87</v>
      </c>
      <c r="C120" s="72" t="s">
        <v>645</v>
      </c>
      <c r="D120" s="72" t="s">
        <v>1024</v>
      </c>
      <c r="E120" s="72" t="s">
        <v>1093</v>
      </c>
      <c r="F120" s="73" t="s">
        <v>1094</v>
      </c>
      <c r="G120" s="107"/>
      <c r="H120" s="107"/>
      <c r="I120" s="107"/>
      <c r="J120" s="73">
        <v>0</v>
      </c>
    </row>
    <row r="121" spans="2:10" x14ac:dyDescent="0.3">
      <c r="B121" s="61">
        <v>88</v>
      </c>
      <c r="C121" s="72" t="s">
        <v>645</v>
      </c>
      <c r="D121" s="72" t="s">
        <v>1024</v>
      </c>
      <c r="E121" s="72" t="s">
        <v>1095</v>
      </c>
      <c r="F121" s="73" t="s">
        <v>1096</v>
      </c>
      <c r="G121" s="107"/>
      <c r="H121" s="107"/>
      <c r="I121" s="107"/>
      <c r="J121" s="73">
        <v>0</v>
      </c>
    </row>
    <row r="122" spans="2:10" x14ac:dyDescent="0.3">
      <c r="B122" s="61">
        <v>89</v>
      </c>
      <c r="C122" s="72" t="s">
        <v>645</v>
      </c>
      <c r="D122" s="72" t="s">
        <v>1024</v>
      </c>
      <c r="E122" s="72" t="s">
        <v>1097</v>
      </c>
      <c r="F122" s="73" t="s">
        <v>1098</v>
      </c>
      <c r="G122" s="107"/>
      <c r="H122" s="107"/>
      <c r="I122" s="107"/>
      <c r="J122" s="73">
        <v>0</v>
      </c>
    </row>
    <row r="123" spans="2:10" x14ac:dyDescent="0.3">
      <c r="B123" s="61">
        <v>90</v>
      </c>
      <c r="C123" s="72" t="s">
        <v>645</v>
      </c>
      <c r="D123" s="72" t="s">
        <v>1024</v>
      </c>
      <c r="E123" s="72" t="s">
        <v>1099</v>
      </c>
      <c r="F123" s="73" t="s">
        <v>1100</v>
      </c>
      <c r="G123" s="107"/>
      <c r="H123" s="107"/>
      <c r="I123" s="107"/>
      <c r="J123" s="73">
        <v>0</v>
      </c>
    </row>
    <row r="124" spans="2:10" x14ac:dyDescent="0.3">
      <c r="B124" s="61">
        <v>91</v>
      </c>
      <c r="C124" s="72" t="s">
        <v>645</v>
      </c>
      <c r="D124" s="72" t="s">
        <v>1024</v>
      </c>
      <c r="E124" s="72" t="s">
        <v>1101</v>
      </c>
      <c r="F124" s="73" t="s">
        <v>1102</v>
      </c>
      <c r="G124" s="107" t="str">
        <f>'Practices and Requirements'!C8</f>
        <v>T-ADI-DEP-1-4</v>
      </c>
      <c r="H124" s="107" t="str">
        <f>'Practices and Requirements'!E8</f>
        <v>To be filled</v>
      </c>
      <c r="I124" s="107">
        <f>'Practices and Requirements'!V8</f>
        <v>0</v>
      </c>
      <c r="J124" s="73">
        <v>0</v>
      </c>
    </row>
    <row r="125" spans="2:10" x14ac:dyDescent="0.3">
      <c r="B125" s="61">
        <v>92</v>
      </c>
      <c r="C125" s="72" t="s">
        <v>645</v>
      </c>
      <c r="D125" s="72" t="s">
        <v>1024</v>
      </c>
      <c r="E125" s="72" t="s">
        <v>1103</v>
      </c>
      <c r="F125" s="73" t="s">
        <v>1104</v>
      </c>
      <c r="G125" s="107"/>
      <c r="H125" s="107"/>
      <c r="I125" s="107"/>
      <c r="J125" s="73">
        <v>0</v>
      </c>
    </row>
    <row r="126" spans="2:10" x14ac:dyDescent="0.3">
      <c r="B126" s="61">
        <v>93</v>
      </c>
      <c r="C126" s="72" t="s">
        <v>645</v>
      </c>
      <c r="D126" s="72" t="s">
        <v>1024</v>
      </c>
      <c r="E126" s="72" t="s">
        <v>1105</v>
      </c>
      <c r="F126" s="73" t="s">
        <v>1106</v>
      </c>
      <c r="G126" s="107"/>
      <c r="H126" s="107"/>
      <c r="I126" s="107"/>
      <c r="J126" s="73">
        <v>0</v>
      </c>
    </row>
    <row r="127" spans="2:10" x14ac:dyDescent="0.3">
      <c r="B127" s="61">
        <v>94</v>
      </c>
      <c r="C127" s="72" t="s">
        <v>645</v>
      </c>
      <c r="D127" s="72" t="s">
        <v>1024</v>
      </c>
      <c r="E127" s="72" t="s">
        <v>1107</v>
      </c>
      <c r="F127" s="73" t="s">
        <v>1108</v>
      </c>
      <c r="G127" s="107"/>
      <c r="H127" s="107"/>
      <c r="I127" s="107"/>
      <c r="J127" s="73">
        <v>0</v>
      </c>
    </row>
    <row r="128" spans="2:10" x14ac:dyDescent="0.3">
      <c r="B128" s="61">
        <v>95</v>
      </c>
      <c r="C128" s="72" t="s">
        <v>645</v>
      </c>
      <c r="D128" s="72" t="s">
        <v>1024</v>
      </c>
      <c r="E128" s="72" t="s">
        <v>1109</v>
      </c>
      <c r="F128" s="73" t="s">
        <v>1110</v>
      </c>
      <c r="G128" s="107"/>
      <c r="H128" s="107"/>
      <c r="I128" s="107"/>
      <c r="J128" s="73">
        <v>0</v>
      </c>
    </row>
    <row r="129" spans="2:10" x14ac:dyDescent="0.3">
      <c r="B129" s="61">
        <v>96</v>
      </c>
      <c r="C129" s="72" t="s">
        <v>1111</v>
      </c>
      <c r="D129" s="72" t="s">
        <v>1112</v>
      </c>
      <c r="E129" s="72" t="s">
        <v>1113</v>
      </c>
      <c r="F129" s="73" t="s">
        <v>1114</v>
      </c>
      <c r="G129" s="107"/>
      <c r="H129" s="107"/>
      <c r="I129" s="107"/>
      <c r="J129" s="73">
        <v>0</v>
      </c>
    </row>
    <row r="130" spans="2:10" x14ac:dyDescent="0.3">
      <c r="B130" s="61">
        <v>97</v>
      </c>
      <c r="C130" s="72" t="s">
        <v>1111</v>
      </c>
      <c r="D130" s="72" t="s">
        <v>1112</v>
      </c>
      <c r="E130" s="72" t="s">
        <v>1115</v>
      </c>
      <c r="F130" s="73" t="s">
        <v>1116</v>
      </c>
      <c r="G130" s="107"/>
      <c r="H130" s="107"/>
      <c r="I130" s="107"/>
      <c r="J130" s="73">
        <v>0</v>
      </c>
    </row>
    <row r="131" spans="2:10" x14ac:dyDescent="0.3">
      <c r="B131" s="61">
        <v>98</v>
      </c>
      <c r="C131" s="72" t="s">
        <v>1111</v>
      </c>
      <c r="D131" s="72" t="s">
        <v>1112</v>
      </c>
      <c r="E131" s="72" t="s">
        <v>1117</v>
      </c>
      <c r="F131" s="73" t="s">
        <v>1118</v>
      </c>
      <c r="G131" s="107"/>
      <c r="H131" s="107"/>
      <c r="I131" s="107"/>
      <c r="J131" s="73">
        <v>0</v>
      </c>
    </row>
    <row r="132" spans="2:10" x14ac:dyDescent="0.3">
      <c r="B132" s="61">
        <v>99</v>
      </c>
      <c r="C132" s="72" t="s">
        <v>1111</v>
      </c>
      <c r="D132" s="72" t="s">
        <v>1119</v>
      </c>
      <c r="E132" s="72" t="s">
        <v>1120</v>
      </c>
      <c r="F132" s="73" t="s">
        <v>1121</v>
      </c>
      <c r="G132" s="107"/>
      <c r="H132" s="107"/>
      <c r="I132" s="107"/>
      <c r="J132" s="73">
        <v>0</v>
      </c>
    </row>
    <row r="133" spans="2:10" x14ac:dyDescent="0.3">
      <c r="B133" s="61">
        <v>100</v>
      </c>
      <c r="C133" s="72" t="s">
        <v>1111</v>
      </c>
      <c r="D133" s="72" t="s">
        <v>1112</v>
      </c>
      <c r="E133" s="72" t="s">
        <v>1122</v>
      </c>
      <c r="F133" s="73" t="s">
        <v>1123</v>
      </c>
      <c r="G133" s="107"/>
      <c r="H133" s="107"/>
      <c r="I133" s="107"/>
      <c r="J133" s="73">
        <v>0</v>
      </c>
    </row>
    <row r="134" spans="2:10" x14ac:dyDescent="0.3">
      <c r="B134" s="267">
        <v>101</v>
      </c>
      <c r="C134" s="265" t="s">
        <v>1111</v>
      </c>
      <c r="D134" s="265" t="s">
        <v>1112</v>
      </c>
      <c r="E134" s="265" t="s">
        <v>1124</v>
      </c>
      <c r="F134" s="265" t="s">
        <v>1125</v>
      </c>
      <c r="G134" s="107" t="str">
        <f>'Practices and Requirements'!C22</f>
        <v>T-ADI-ART-1-5</v>
      </c>
      <c r="H134" s="107" t="str">
        <f>'Practices and Requirements'!E22</f>
        <v>To be filled</v>
      </c>
      <c r="I134" s="107">
        <f>'Practices and Requirements'!V22</f>
        <v>0</v>
      </c>
      <c r="J134" s="73">
        <v>0</v>
      </c>
    </row>
    <row r="135" spans="2:10" x14ac:dyDescent="0.3">
      <c r="B135" s="267"/>
      <c r="C135" s="265"/>
      <c r="D135" s="265"/>
      <c r="E135" s="265"/>
      <c r="F135" s="265"/>
      <c r="G135" s="107" t="str">
        <f>'Practices and Requirements'!C256</f>
        <v>T-PROD-ACCESS-2-2</v>
      </c>
      <c r="H135" s="107" t="str">
        <f>'Practices and Requirements'!E256</f>
        <v>To be filled</v>
      </c>
      <c r="I135" s="107">
        <f>'Practices and Requirements'!V256</f>
        <v>0</v>
      </c>
      <c r="J135" s="73">
        <v>0</v>
      </c>
    </row>
    <row r="136" spans="2:10" x14ac:dyDescent="0.3">
      <c r="B136" s="267"/>
      <c r="C136" s="265"/>
      <c r="D136" s="265"/>
      <c r="E136" s="265"/>
      <c r="F136" s="265"/>
      <c r="G136" s="107" t="str">
        <f>'Practices and Requirements'!C281</f>
        <v>T-PROD-EVENTS-0-1</v>
      </c>
      <c r="H136" s="107" t="str">
        <f>'Practices and Requirements'!E281</f>
        <v>To be filled</v>
      </c>
      <c r="I136" s="107">
        <f>'Practices and Requirements'!V281</f>
        <v>0</v>
      </c>
      <c r="J136" s="73">
        <v>0</v>
      </c>
    </row>
    <row r="137" spans="2:10" x14ac:dyDescent="0.3">
      <c r="B137" s="61">
        <v>102</v>
      </c>
      <c r="C137" s="72" t="s">
        <v>1111</v>
      </c>
      <c r="D137" s="72" t="s">
        <v>1112</v>
      </c>
      <c r="E137" s="72" t="s">
        <v>1126</v>
      </c>
      <c r="F137" s="73" t="s">
        <v>1127</v>
      </c>
      <c r="G137" s="107"/>
      <c r="H137" s="107"/>
      <c r="I137" s="107"/>
      <c r="J137" s="73">
        <v>0</v>
      </c>
    </row>
    <row r="138" spans="2:10" x14ac:dyDescent="0.3">
      <c r="B138" s="61">
        <v>103</v>
      </c>
      <c r="C138" s="72" t="s">
        <v>1111</v>
      </c>
      <c r="D138" s="72" t="s">
        <v>1112</v>
      </c>
      <c r="E138" s="72" t="s">
        <v>1128</v>
      </c>
      <c r="F138" s="73" t="s">
        <v>1129</v>
      </c>
      <c r="G138" s="107"/>
      <c r="H138" s="107"/>
      <c r="I138" s="107"/>
      <c r="J138" s="73">
        <v>0</v>
      </c>
    </row>
    <row r="139" spans="2:10" x14ac:dyDescent="0.3">
      <c r="B139" s="61">
        <v>104</v>
      </c>
      <c r="C139" s="72" t="s">
        <v>1111</v>
      </c>
      <c r="D139" s="72" t="s">
        <v>1119</v>
      </c>
      <c r="E139" s="72" t="s">
        <v>1130</v>
      </c>
      <c r="F139" s="73" t="s">
        <v>1131</v>
      </c>
      <c r="G139" s="107"/>
      <c r="H139" s="107"/>
      <c r="I139" s="107"/>
      <c r="J139" s="73">
        <v>0</v>
      </c>
    </row>
    <row r="140" spans="2:10" x14ac:dyDescent="0.3">
      <c r="B140" s="61">
        <v>105</v>
      </c>
      <c r="C140" s="72" t="s">
        <v>1111</v>
      </c>
      <c r="D140" s="72" t="s">
        <v>1132</v>
      </c>
      <c r="E140" s="72" t="s">
        <v>1133</v>
      </c>
      <c r="F140" s="73" t="s">
        <v>1134</v>
      </c>
      <c r="G140" s="107"/>
      <c r="H140" s="107"/>
      <c r="I140" s="107"/>
      <c r="J140" s="73">
        <v>0</v>
      </c>
    </row>
    <row r="141" spans="2:10" x14ac:dyDescent="0.3">
      <c r="B141" s="267">
        <v>106</v>
      </c>
      <c r="C141" s="265" t="s">
        <v>1111</v>
      </c>
      <c r="D141" s="265" t="s">
        <v>1132</v>
      </c>
      <c r="E141" s="265" t="s">
        <v>1135</v>
      </c>
      <c r="F141" s="265" t="s">
        <v>1136</v>
      </c>
      <c r="G141" s="107" t="str">
        <f>'Practices and Requirements'!C22</f>
        <v>T-ADI-ART-1-5</v>
      </c>
      <c r="H141" s="107" t="str">
        <f>'Practices and Requirements'!E22</f>
        <v>To be filled</v>
      </c>
      <c r="I141" s="107">
        <f>'Practices and Requirements'!V22</f>
        <v>0</v>
      </c>
      <c r="J141" s="73">
        <v>0</v>
      </c>
    </row>
    <row r="142" spans="2:10" x14ac:dyDescent="0.3">
      <c r="B142" s="267"/>
      <c r="C142" s="265"/>
      <c r="D142" s="265"/>
      <c r="E142" s="265"/>
      <c r="F142" s="265"/>
      <c r="G142" s="107" t="str">
        <f>'Practices and Requirements'!C256</f>
        <v>T-PROD-ACCESS-2-2</v>
      </c>
      <c r="H142" s="107" t="str">
        <f>'Practices and Requirements'!E256</f>
        <v>To be filled</v>
      </c>
      <c r="I142" s="107">
        <f>'Practices and Requirements'!V256</f>
        <v>0</v>
      </c>
      <c r="J142" s="73">
        <v>0</v>
      </c>
    </row>
    <row r="143" spans="2:10" x14ac:dyDescent="0.3">
      <c r="B143" s="267"/>
      <c r="C143" s="265"/>
      <c r="D143" s="265"/>
      <c r="E143" s="265"/>
      <c r="F143" s="265"/>
      <c r="G143" s="107" t="str">
        <f>'Practices and Requirements'!C283</f>
        <v>T-PROD-EVENTS-3-1</v>
      </c>
      <c r="H143" s="107" t="str">
        <f>'Practices and Requirements'!E283</f>
        <v>To be filled</v>
      </c>
      <c r="I143" s="107">
        <f>'Practices and Requirements'!V283</f>
        <v>0</v>
      </c>
      <c r="J143" s="73">
        <v>0</v>
      </c>
    </row>
    <row r="144" spans="2:10" x14ac:dyDescent="0.3">
      <c r="B144" s="61">
        <v>107</v>
      </c>
      <c r="C144" s="72" t="s">
        <v>1111</v>
      </c>
      <c r="D144" s="72" t="s">
        <v>1132</v>
      </c>
      <c r="E144" s="72" t="s">
        <v>1137</v>
      </c>
      <c r="F144" s="73" t="s">
        <v>1138</v>
      </c>
      <c r="G144" s="107"/>
      <c r="H144" s="107"/>
      <c r="I144" s="107"/>
      <c r="J144" s="73">
        <v>0</v>
      </c>
    </row>
    <row r="145" spans="2:10" x14ac:dyDescent="0.3">
      <c r="B145" s="267">
        <v>108</v>
      </c>
      <c r="C145" s="265" t="s">
        <v>1111</v>
      </c>
      <c r="D145" s="265" t="s">
        <v>1132</v>
      </c>
      <c r="E145" s="265" t="s">
        <v>1139</v>
      </c>
      <c r="F145" s="265" t="s">
        <v>1140</v>
      </c>
      <c r="G145" s="107" t="str">
        <f>'Practices and Requirements'!C22</f>
        <v>T-ADI-ART-1-5</v>
      </c>
      <c r="H145" s="107" t="str">
        <f>'Practices and Requirements'!E22</f>
        <v>To be filled</v>
      </c>
      <c r="I145" s="107">
        <f>'Practices and Requirements'!V22</f>
        <v>0</v>
      </c>
      <c r="J145" s="73">
        <v>0</v>
      </c>
    </row>
    <row r="146" spans="2:10" x14ac:dyDescent="0.3">
      <c r="B146" s="267"/>
      <c r="C146" s="265"/>
      <c r="D146" s="265"/>
      <c r="E146" s="265"/>
      <c r="F146" s="265"/>
      <c r="G146" s="107" t="str">
        <f>'Practices and Requirements'!C281</f>
        <v>T-PROD-EVENTS-0-1</v>
      </c>
      <c r="H146" s="107" t="str">
        <f>'Practices and Requirements'!E281</f>
        <v>To be filled</v>
      </c>
      <c r="I146" s="107">
        <f>'Practices and Requirements'!V281</f>
        <v>0</v>
      </c>
      <c r="J146" s="73">
        <v>0</v>
      </c>
    </row>
    <row r="147" spans="2:10" x14ac:dyDescent="0.3">
      <c r="B147" s="267"/>
      <c r="C147" s="265"/>
      <c r="D147" s="265"/>
      <c r="E147" s="265"/>
      <c r="F147" s="265"/>
      <c r="G147" s="107" t="str">
        <f>'Practices and Requirements'!C256</f>
        <v>T-PROD-ACCESS-2-2</v>
      </c>
      <c r="H147" s="107" t="str">
        <f>'Practices and Requirements'!E256</f>
        <v>To be filled</v>
      </c>
      <c r="I147" s="107">
        <f>'Practices and Requirements'!V256</f>
        <v>0</v>
      </c>
      <c r="J147" s="73">
        <v>0</v>
      </c>
    </row>
    <row r="148" spans="2:10" x14ac:dyDescent="0.3">
      <c r="B148" s="267"/>
      <c r="C148" s="265"/>
      <c r="D148" s="265"/>
      <c r="E148" s="265"/>
      <c r="F148" s="265"/>
      <c r="G148" s="107" t="str">
        <f>'Practices and Requirements'!C282</f>
        <v>T-PROD-EVENTS-2-1</v>
      </c>
      <c r="H148" s="107" t="str">
        <f>'Practices and Requirements'!E282</f>
        <v>To be filled</v>
      </c>
      <c r="I148" s="107">
        <f>'Practices and Requirements'!V282</f>
        <v>0</v>
      </c>
      <c r="J148" s="73">
        <v>0</v>
      </c>
    </row>
    <row r="149" spans="2:10" x14ac:dyDescent="0.3">
      <c r="B149" s="61">
        <v>109</v>
      </c>
      <c r="C149" s="72" t="s">
        <v>1111</v>
      </c>
      <c r="D149" s="72" t="s">
        <v>1132</v>
      </c>
      <c r="E149" s="72" t="s">
        <v>1141</v>
      </c>
      <c r="F149" s="73" t="s">
        <v>1142</v>
      </c>
      <c r="G149" s="107"/>
      <c r="H149" s="107"/>
      <c r="I149" s="107"/>
      <c r="J149" s="73">
        <v>0</v>
      </c>
    </row>
    <row r="150" spans="2:10" x14ac:dyDescent="0.3">
      <c r="B150" s="61">
        <v>110</v>
      </c>
      <c r="C150" s="72" t="s">
        <v>1111</v>
      </c>
      <c r="D150" s="72" t="s">
        <v>1132</v>
      </c>
      <c r="E150" s="72" t="s">
        <v>1143</v>
      </c>
      <c r="F150" s="73" t="s">
        <v>1144</v>
      </c>
      <c r="G150" s="107"/>
      <c r="H150" s="107"/>
      <c r="I150" s="107"/>
      <c r="J150" s="73">
        <v>0</v>
      </c>
    </row>
    <row r="151" spans="2:10" x14ac:dyDescent="0.3">
      <c r="B151" s="61">
        <v>111</v>
      </c>
      <c r="C151" s="72" t="s">
        <v>1111</v>
      </c>
      <c r="D151" s="72" t="s">
        <v>1112</v>
      </c>
      <c r="E151" s="72" t="s">
        <v>1145</v>
      </c>
      <c r="F151" s="73" t="s">
        <v>1146</v>
      </c>
      <c r="G151" s="107"/>
      <c r="H151" s="107"/>
      <c r="I151" s="107"/>
      <c r="J151" s="73">
        <v>0</v>
      </c>
    </row>
    <row r="152" spans="2:10" x14ac:dyDescent="0.3">
      <c r="B152" s="61">
        <v>112</v>
      </c>
      <c r="C152" s="72" t="s">
        <v>1111</v>
      </c>
      <c r="D152" s="72" t="s">
        <v>1112</v>
      </c>
      <c r="E152" s="72" t="s">
        <v>1147</v>
      </c>
      <c r="F152" s="73" t="s">
        <v>1148</v>
      </c>
      <c r="G152" s="107"/>
      <c r="H152" s="107"/>
      <c r="I152" s="107"/>
      <c r="J152" s="73">
        <v>0</v>
      </c>
    </row>
    <row r="153" spans="2:10" x14ac:dyDescent="0.3">
      <c r="B153" s="61">
        <v>113</v>
      </c>
      <c r="C153" s="72" t="s">
        <v>1111</v>
      </c>
      <c r="D153" s="72" t="s">
        <v>1112</v>
      </c>
      <c r="E153" s="72" t="s">
        <v>1149</v>
      </c>
      <c r="F153" s="73" t="s">
        <v>1150</v>
      </c>
      <c r="G153" s="107"/>
      <c r="H153" s="107"/>
      <c r="I153" s="107"/>
      <c r="J153" s="73">
        <v>0</v>
      </c>
    </row>
    <row r="154" spans="2:10" x14ac:dyDescent="0.3">
      <c r="B154" s="61">
        <v>114</v>
      </c>
      <c r="C154" s="72" t="s">
        <v>1111</v>
      </c>
      <c r="D154" s="72" t="s">
        <v>1112</v>
      </c>
      <c r="E154" s="72" t="s">
        <v>1151</v>
      </c>
      <c r="F154" s="73" t="s">
        <v>1152</v>
      </c>
      <c r="G154" s="107"/>
      <c r="H154" s="107"/>
      <c r="I154" s="107"/>
      <c r="J154" s="73">
        <v>0</v>
      </c>
    </row>
    <row r="155" spans="2:10" x14ac:dyDescent="0.3">
      <c r="B155" s="61">
        <v>115</v>
      </c>
      <c r="C155" s="72" t="s">
        <v>1111</v>
      </c>
      <c r="D155" s="72" t="s">
        <v>1112</v>
      </c>
      <c r="E155" s="72" t="s">
        <v>1153</v>
      </c>
      <c r="F155" s="73" t="s">
        <v>1154</v>
      </c>
      <c r="G155" s="107"/>
      <c r="H155" s="107"/>
      <c r="I155" s="107"/>
      <c r="J155" s="73">
        <v>0</v>
      </c>
    </row>
    <row r="156" spans="2:10" x14ac:dyDescent="0.3">
      <c r="B156" s="61">
        <v>116</v>
      </c>
      <c r="C156" s="72" t="s">
        <v>1111</v>
      </c>
      <c r="D156" s="72" t="s">
        <v>1112</v>
      </c>
      <c r="E156" s="72" t="s">
        <v>1155</v>
      </c>
      <c r="F156" s="73" t="s">
        <v>1156</v>
      </c>
      <c r="G156" s="107"/>
      <c r="H156" s="107"/>
      <c r="I156" s="107"/>
      <c r="J156" s="73">
        <v>0</v>
      </c>
    </row>
    <row r="157" spans="2:10" x14ac:dyDescent="0.3">
      <c r="B157" s="61">
        <v>117</v>
      </c>
      <c r="C157" s="72" t="s">
        <v>1111</v>
      </c>
      <c r="D157" s="72" t="s">
        <v>1112</v>
      </c>
      <c r="E157" s="72" t="s">
        <v>1157</v>
      </c>
      <c r="F157" s="73" t="s">
        <v>1158</v>
      </c>
      <c r="G157" s="107"/>
      <c r="H157" s="107"/>
      <c r="I157" s="107"/>
      <c r="J157" s="73">
        <v>0</v>
      </c>
    </row>
    <row r="158" spans="2:10" x14ac:dyDescent="0.3">
      <c r="B158" s="61">
        <v>118</v>
      </c>
      <c r="C158" s="72" t="s">
        <v>1111</v>
      </c>
      <c r="D158" s="72" t="s">
        <v>1112</v>
      </c>
      <c r="E158" s="72" t="s">
        <v>1159</v>
      </c>
      <c r="F158" s="73" t="s">
        <v>1160</v>
      </c>
      <c r="G158" s="107"/>
      <c r="H158" s="107"/>
      <c r="I158" s="107"/>
      <c r="J158" s="73">
        <v>0</v>
      </c>
    </row>
    <row r="159" spans="2:10" x14ac:dyDescent="0.3">
      <c r="B159" s="61">
        <v>119</v>
      </c>
      <c r="C159" s="72" t="s">
        <v>1111</v>
      </c>
      <c r="D159" s="72" t="s">
        <v>1112</v>
      </c>
      <c r="E159" s="72" t="s">
        <v>1161</v>
      </c>
      <c r="F159" s="73" t="s">
        <v>1162</v>
      </c>
      <c r="G159" s="107"/>
      <c r="H159" s="107"/>
      <c r="I159" s="107"/>
      <c r="J159" s="73">
        <v>0</v>
      </c>
    </row>
    <row r="160" spans="2:10" x14ac:dyDescent="0.3">
      <c r="B160" s="61">
        <v>120</v>
      </c>
      <c r="C160" s="73" t="s">
        <v>1111</v>
      </c>
      <c r="D160" s="73" t="s">
        <v>1119</v>
      </c>
      <c r="E160" s="73" t="s">
        <v>1163</v>
      </c>
      <c r="F160" s="73" t="s">
        <v>1164</v>
      </c>
      <c r="G160" s="107"/>
      <c r="H160" s="107"/>
      <c r="I160" s="107"/>
      <c r="J160" s="73">
        <v>0</v>
      </c>
    </row>
    <row r="161" spans="2:10" x14ac:dyDescent="0.3">
      <c r="B161" s="61">
        <v>121</v>
      </c>
      <c r="C161" s="73" t="s">
        <v>1111</v>
      </c>
      <c r="D161" s="73" t="s">
        <v>1119</v>
      </c>
      <c r="E161" s="73" t="s">
        <v>1165</v>
      </c>
      <c r="F161" s="73" t="s">
        <v>1166</v>
      </c>
      <c r="G161" s="107"/>
      <c r="H161" s="107"/>
      <c r="I161" s="107"/>
      <c r="J161" s="73">
        <v>0</v>
      </c>
    </row>
    <row r="162" spans="2:10" x14ac:dyDescent="0.3">
      <c r="B162" s="267">
        <v>122</v>
      </c>
      <c r="C162" s="265" t="s">
        <v>1167</v>
      </c>
      <c r="D162" s="265" t="s">
        <v>1168</v>
      </c>
      <c r="E162" s="265" t="s">
        <v>1169</v>
      </c>
      <c r="F162" s="265" t="s">
        <v>1170</v>
      </c>
      <c r="G162" s="107" t="str">
        <f>'Practices and Requirements'!C177</f>
        <v>T-PREPROD-DAST-2-2</v>
      </c>
      <c r="H162" s="107" t="str">
        <f>'Practices and Requirements'!E177</f>
        <v>To be filled</v>
      </c>
      <c r="I162" s="107">
        <f>'Practices and Requirements'!V177</f>
        <v>0</v>
      </c>
      <c r="J162" s="73">
        <v>0</v>
      </c>
    </row>
    <row r="163" spans="2:10" x14ac:dyDescent="0.3">
      <c r="B163" s="267"/>
      <c r="C163" s="265"/>
      <c r="D163" s="265"/>
      <c r="E163" s="265"/>
      <c r="F163" s="265"/>
      <c r="G163" s="107" t="str">
        <f>'Practices and Requirements'!C182</f>
        <v>T-PREPROD-DAST-3-3</v>
      </c>
      <c r="H163" s="107" t="str">
        <f>'Practices and Requirements'!E182</f>
        <v>To be filled</v>
      </c>
      <c r="I163" s="107">
        <f>'Practices and Requirements'!V182</f>
        <v>0</v>
      </c>
      <c r="J163" s="73">
        <v>0</v>
      </c>
    </row>
    <row r="164" spans="2:10" x14ac:dyDescent="0.3">
      <c r="B164" s="267"/>
      <c r="C164" s="265"/>
      <c r="D164" s="265"/>
      <c r="E164" s="265"/>
      <c r="F164" s="265"/>
      <c r="G164" s="107" t="str">
        <f>'Practices and Requirements'!C244</f>
        <v>T-PROD-DAST-3-3</v>
      </c>
      <c r="H164" s="107" t="str">
        <f>'Practices and Requirements'!E244</f>
        <v>To be filled</v>
      </c>
      <c r="I164" s="107">
        <f>'Practices and Requirements'!V244</f>
        <v>0</v>
      </c>
      <c r="J164" s="73">
        <v>0</v>
      </c>
    </row>
    <row r="165" spans="2:10" x14ac:dyDescent="0.3">
      <c r="B165" s="267"/>
      <c r="C165" s="265"/>
      <c r="D165" s="265"/>
      <c r="E165" s="265"/>
      <c r="F165" s="265"/>
      <c r="G165" s="107" t="str">
        <f>'Practices and Requirements'!C239</f>
        <v>T-PROD-DAST-2-2</v>
      </c>
      <c r="H165" s="107" t="str">
        <f>'Practices and Requirements'!E239</f>
        <v>To be filled</v>
      </c>
      <c r="I165" s="107">
        <f>'Practices and Requirements'!V239</f>
        <v>0</v>
      </c>
      <c r="J165" s="73">
        <v>0</v>
      </c>
    </row>
    <row r="166" spans="2:10" x14ac:dyDescent="0.3">
      <c r="B166" s="267">
        <v>123</v>
      </c>
      <c r="C166" s="265" t="s">
        <v>1167</v>
      </c>
      <c r="D166" s="265" t="s">
        <v>1168</v>
      </c>
      <c r="E166" s="265" t="s">
        <v>1171</v>
      </c>
      <c r="F166" s="265" t="s">
        <v>1172</v>
      </c>
      <c r="G166" s="107" t="str">
        <f>'Practices and Requirements'!C177</f>
        <v>T-PREPROD-DAST-2-2</v>
      </c>
      <c r="H166" s="107" t="str">
        <f>'Practices and Requirements'!E177</f>
        <v>To be filled</v>
      </c>
      <c r="I166" s="107">
        <f>'Practices and Requirements'!V177</f>
        <v>0</v>
      </c>
      <c r="J166" s="73">
        <v>0</v>
      </c>
    </row>
    <row r="167" spans="2:10" x14ac:dyDescent="0.3">
      <c r="B167" s="267"/>
      <c r="C167" s="265"/>
      <c r="D167" s="265"/>
      <c r="E167" s="265"/>
      <c r="F167" s="265"/>
      <c r="G167" s="107" t="str">
        <f>'Practices and Requirements'!C184</f>
        <v>T-PREPROD-DAST-4-1</v>
      </c>
      <c r="H167" s="107" t="str">
        <f>'Practices and Requirements'!E184</f>
        <v>To be filled</v>
      </c>
      <c r="I167" s="107">
        <f>'Practices and Requirements'!V184</f>
        <v>0</v>
      </c>
      <c r="J167" s="73">
        <v>0</v>
      </c>
    </row>
    <row r="168" spans="2:10" x14ac:dyDescent="0.3">
      <c r="B168" s="267"/>
      <c r="C168" s="265"/>
      <c r="D168" s="265"/>
      <c r="E168" s="265"/>
      <c r="F168" s="265"/>
      <c r="G168" s="107" t="str">
        <f>'Practices and Requirements'!C239</f>
        <v>T-PROD-DAST-2-2</v>
      </c>
      <c r="H168" s="107" t="str">
        <f>'Practices and Requirements'!E239</f>
        <v>To be filled</v>
      </c>
      <c r="I168" s="107">
        <f>'Practices and Requirements'!V239</f>
        <v>0</v>
      </c>
      <c r="J168" s="73">
        <v>0</v>
      </c>
    </row>
    <row r="169" spans="2:10" x14ac:dyDescent="0.3">
      <c r="B169" s="267"/>
      <c r="C169" s="265"/>
      <c r="D169" s="265"/>
      <c r="E169" s="265"/>
      <c r="F169" s="265"/>
      <c r="G169" s="107" t="str">
        <f>'Practices and Requirements'!C242</f>
        <v>T-PROD-DAST-3-1</v>
      </c>
      <c r="H169" s="107" t="str">
        <f>'Practices and Requirements'!E242</f>
        <v>To be filled</v>
      </c>
      <c r="I169" s="107">
        <f>'Practices and Requirements'!V242</f>
        <v>0</v>
      </c>
      <c r="J169" s="73">
        <v>0</v>
      </c>
    </row>
    <row r="170" spans="2:10" x14ac:dyDescent="0.3">
      <c r="B170" s="267"/>
      <c r="C170" s="265"/>
      <c r="D170" s="265"/>
      <c r="E170" s="265"/>
      <c r="F170" s="265"/>
      <c r="G170" s="107" t="str">
        <f>'Practices and Requirements'!C246</f>
        <v>T-PROD-DAST-4-1</v>
      </c>
      <c r="H170" s="107" t="str">
        <f>'Practices and Requirements'!E246</f>
        <v>To be filled</v>
      </c>
      <c r="I170" s="107">
        <f>'Practices and Requirements'!V246</f>
        <v>0</v>
      </c>
      <c r="J170" s="73">
        <v>0</v>
      </c>
    </row>
    <row r="171" spans="2:10" x14ac:dyDescent="0.3">
      <c r="B171" s="267"/>
      <c r="C171" s="265"/>
      <c r="D171" s="265"/>
      <c r="E171" s="265"/>
      <c r="F171" s="265"/>
      <c r="G171" s="107" t="str">
        <f>'Practices and Requirements'!C180</f>
        <v>T-PREPROD-DAST-3-1</v>
      </c>
      <c r="H171" s="107" t="str">
        <f>'Practices and Requirements'!E180</f>
        <v>To be filled</v>
      </c>
      <c r="I171" s="107">
        <f>'Practices and Requirements'!V180</f>
        <v>0</v>
      </c>
      <c r="J171" s="73">
        <v>0</v>
      </c>
    </row>
    <row r="172" spans="2:10" x14ac:dyDescent="0.3">
      <c r="B172" s="267">
        <v>124</v>
      </c>
      <c r="C172" s="265" t="s">
        <v>1167</v>
      </c>
      <c r="D172" s="265" t="s">
        <v>1168</v>
      </c>
      <c r="E172" s="265" t="s">
        <v>1173</v>
      </c>
      <c r="F172" s="265" t="s">
        <v>1174</v>
      </c>
      <c r="G172" s="107" t="str">
        <f>'Practices and Requirements'!C181</f>
        <v>T-PREPROD-DAST-3-2</v>
      </c>
      <c r="H172" s="107" t="str">
        <f>'Practices and Requirements'!E181</f>
        <v>To be filled</v>
      </c>
      <c r="I172" s="107">
        <f>'Practices and Requirements'!V181</f>
        <v>0</v>
      </c>
      <c r="J172" s="73">
        <v>0</v>
      </c>
    </row>
    <row r="173" spans="2:10" x14ac:dyDescent="0.3">
      <c r="B173" s="267"/>
      <c r="C173" s="265"/>
      <c r="D173" s="265"/>
      <c r="E173" s="265"/>
      <c r="F173" s="265"/>
      <c r="G173" s="107" t="str">
        <f>'Practices and Requirements'!C243</f>
        <v>T-PROD-DAST-3-2</v>
      </c>
      <c r="H173" s="107" t="str">
        <f>'Practices and Requirements'!E243</f>
        <v>To be filled</v>
      </c>
      <c r="I173" s="107">
        <f>'Practices and Requirements'!V243</f>
        <v>0</v>
      </c>
      <c r="J173" s="73">
        <v>0</v>
      </c>
    </row>
    <row r="174" spans="2:10" x14ac:dyDescent="0.3">
      <c r="B174" s="267"/>
      <c r="C174" s="265"/>
      <c r="D174" s="265"/>
      <c r="E174" s="265"/>
      <c r="F174" s="265"/>
      <c r="G174" s="107" t="str">
        <f>'Practices and Requirements'!C246</f>
        <v>T-PROD-DAST-4-1</v>
      </c>
      <c r="H174" s="107" t="str">
        <f>'Practices and Requirements'!E246</f>
        <v>To be filled</v>
      </c>
      <c r="I174" s="107">
        <f>'Practices and Requirements'!V246</f>
        <v>0</v>
      </c>
      <c r="J174" s="73">
        <v>0</v>
      </c>
    </row>
    <row r="175" spans="2:10" x14ac:dyDescent="0.3">
      <c r="B175" s="267"/>
      <c r="C175" s="265"/>
      <c r="D175" s="265"/>
      <c r="E175" s="265"/>
      <c r="F175" s="265"/>
      <c r="G175" s="107" t="str">
        <f>'Practices and Requirements'!C184</f>
        <v>T-PREPROD-DAST-4-1</v>
      </c>
      <c r="H175" s="107" t="str">
        <f>'Practices and Requirements'!E184</f>
        <v>To be filled</v>
      </c>
      <c r="I175" s="107">
        <f>'Practices and Requirements'!V184</f>
        <v>0</v>
      </c>
      <c r="J175" s="73">
        <v>0</v>
      </c>
    </row>
    <row r="176" spans="2:10" x14ac:dyDescent="0.3">
      <c r="B176" s="61">
        <v>125</v>
      </c>
      <c r="C176" s="72" t="s">
        <v>1167</v>
      </c>
      <c r="D176" s="72" t="s">
        <v>1175</v>
      </c>
      <c r="E176" s="72" t="s">
        <v>1176</v>
      </c>
      <c r="F176" s="73" t="s">
        <v>1177</v>
      </c>
      <c r="G176" s="107"/>
      <c r="H176" s="107"/>
      <c r="I176" s="107"/>
      <c r="J176" s="73">
        <v>0</v>
      </c>
    </row>
    <row r="177" spans="2:10" x14ac:dyDescent="0.3">
      <c r="B177" s="61">
        <v>126</v>
      </c>
      <c r="C177" s="72" t="s">
        <v>1167</v>
      </c>
      <c r="D177" s="72" t="s">
        <v>1175</v>
      </c>
      <c r="E177" s="72" t="s">
        <v>1178</v>
      </c>
      <c r="F177" s="73" t="s">
        <v>1179</v>
      </c>
      <c r="G177" s="107"/>
      <c r="H177" s="107"/>
      <c r="I177" s="107"/>
      <c r="J177" s="73">
        <v>0</v>
      </c>
    </row>
    <row r="178" spans="2:10" x14ac:dyDescent="0.3">
      <c r="B178" s="61">
        <v>127</v>
      </c>
      <c r="C178" s="72" t="s">
        <v>1167</v>
      </c>
      <c r="D178" s="72" t="s">
        <v>1180</v>
      </c>
      <c r="E178" s="72" t="s">
        <v>1181</v>
      </c>
      <c r="F178" s="73" t="s">
        <v>1182</v>
      </c>
      <c r="G178" s="107" t="str">
        <f>'Practices and Requirements'!C193</f>
        <v>T-PREPROD-SECTEST-0-1</v>
      </c>
      <c r="H178" s="107" t="str">
        <f>'Practices and Requirements'!E193</f>
        <v>To be filled</v>
      </c>
      <c r="I178" s="107">
        <f>'Practices and Requirements'!V193</f>
        <v>0</v>
      </c>
      <c r="J178" s="73">
        <v>0</v>
      </c>
    </row>
    <row r="179" spans="2:10" x14ac:dyDescent="0.3">
      <c r="B179" s="61">
        <v>128</v>
      </c>
      <c r="C179" s="72" t="s">
        <v>1167</v>
      </c>
      <c r="D179" s="72" t="s">
        <v>1183</v>
      </c>
      <c r="E179" s="72" t="s">
        <v>1184</v>
      </c>
      <c r="F179" s="73" t="s">
        <v>1185</v>
      </c>
      <c r="G179" s="107"/>
      <c r="H179" s="107"/>
      <c r="I179" s="107"/>
      <c r="J179" s="73">
        <v>0</v>
      </c>
    </row>
    <row r="180" spans="2:10" x14ac:dyDescent="0.3">
      <c r="B180" s="61">
        <v>129</v>
      </c>
      <c r="C180" s="72" t="s">
        <v>1167</v>
      </c>
      <c r="D180" s="72" t="s">
        <v>1168</v>
      </c>
      <c r="E180" s="72" t="s">
        <v>1186</v>
      </c>
      <c r="F180" s="73" t="s">
        <v>1187</v>
      </c>
      <c r="G180" s="107"/>
      <c r="H180" s="107"/>
      <c r="I180" s="107"/>
      <c r="J180" s="73">
        <v>0</v>
      </c>
    </row>
    <row r="181" spans="2:10" x14ac:dyDescent="0.3">
      <c r="B181" s="61">
        <v>130</v>
      </c>
      <c r="C181" s="72" t="s">
        <v>1167</v>
      </c>
      <c r="D181" s="72" t="s">
        <v>1168</v>
      </c>
      <c r="E181" s="72" t="s">
        <v>1188</v>
      </c>
      <c r="F181" s="73" t="s">
        <v>1189</v>
      </c>
      <c r="G181" s="107"/>
      <c r="H181" s="107"/>
      <c r="I181" s="107"/>
      <c r="J181" s="73">
        <v>0</v>
      </c>
    </row>
    <row r="182" spans="2:10" x14ac:dyDescent="0.3">
      <c r="B182" s="267">
        <v>131</v>
      </c>
      <c r="C182" s="265" t="s">
        <v>1167</v>
      </c>
      <c r="D182" s="265" t="s">
        <v>1175</v>
      </c>
      <c r="E182" s="265" t="s">
        <v>1190</v>
      </c>
      <c r="F182" s="265" t="s">
        <v>1191</v>
      </c>
      <c r="G182" s="107" t="str">
        <f>'Practices and Requirements'!C155</f>
        <v>T-CODE-SECDN-0-1</v>
      </c>
      <c r="H182" s="107" t="str">
        <f>'Practices and Requirements'!E155</f>
        <v>To be filled</v>
      </c>
      <c r="I182" s="107">
        <f>'Practices and Requirements'!V155</f>
        <v>0</v>
      </c>
      <c r="J182" s="73">
        <v>0</v>
      </c>
    </row>
    <row r="183" spans="2:10" x14ac:dyDescent="0.3">
      <c r="B183" s="267"/>
      <c r="C183" s="265"/>
      <c r="D183" s="265"/>
      <c r="E183" s="265"/>
      <c r="F183" s="265"/>
      <c r="G183" s="107" t="str">
        <f>'Practices and Requirements'!C156</f>
        <v>T-CODE-SECDN-1-1</v>
      </c>
      <c r="H183" s="107" t="str">
        <f>'Practices and Requirements'!E156</f>
        <v>To be filled</v>
      </c>
      <c r="I183" s="107">
        <f>'Practices and Requirements'!V156</f>
        <v>0</v>
      </c>
      <c r="J183" s="73">
        <v>0</v>
      </c>
    </row>
    <row r="184" spans="2:10" x14ac:dyDescent="0.3">
      <c r="B184" s="267"/>
      <c r="C184" s="265"/>
      <c r="D184" s="265"/>
      <c r="E184" s="265"/>
      <c r="F184" s="265"/>
      <c r="G184" s="107" t="str">
        <f>'Practices and Requirements'!C160</f>
        <v>T-CODE-SECDN-2-1</v>
      </c>
      <c r="H184" s="107" t="str">
        <f>'Practices and Requirements'!E160</f>
        <v>To be filled</v>
      </c>
      <c r="I184" s="107">
        <f>'Practices and Requirements'!V160</f>
        <v>0</v>
      </c>
      <c r="J184" s="73">
        <v>0</v>
      </c>
    </row>
    <row r="185" spans="2:10" x14ac:dyDescent="0.3">
      <c r="B185" s="61">
        <v>132</v>
      </c>
      <c r="C185" s="72" t="s">
        <v>1167</v>
      </c>
      <c r="D185" s="72" t="s">
        <v>1192</v>
      </c>
      <c r="E185" s="72" t="s">
        <v>1193</v>
      </c>
      <c r="F185" s="73" t="s">
        <v>1194</v>
      </c>
      <c r="G185" s="107"/>
      <c r="H185" s="107"/>
      <c r="I185" s="107"/>
      <c r="J185" s="73">
        <v>0</v>
      </c>
    </row>
    <row r="186" spans="2:10" x14ac:dyDescent="0.3">
      <c r="B186" s="61">
        <v>133</v>
      </c>
      <c r="C186" s="72" t="s">
        <v>1167</v>
      </c>
      <c r="D186" s="72" t="s">
        <v>1192</v>
      </c>
      <c r="E186" s="72" t="s">
        <v>1195</v>
      </c>
      <c r="F186" s="73" t="s">
        <v>1196</v>
      </c>
      <c r="G186" s="107" t="str">
        <f>'Practices and Requirements'!C351</f>
        <v>P-DEFECT-MNG-0-1</v>
      </c>
      <c r="H186" s="107" t="str">
        <f>'Practices and Requirements'!E351</f>
        <v>To be filled</v>
      </c>
      <c r="I186" s="107">
        <f>'Practices and Requirements'!V351</f>
        <v>0</v>
      </c>
      <c r="J186" s="73">
        <v>0</v>
      </c>
    </row>
    <row r="187" spans="2:10" x14ac:dyDescent="0.3">
      <c r="B187" s="61">
        <v>134</v>
      </c>
      <c r="C187" s="72" t="s">
        <v>1167</v>
      </c>
      <c r="D187" s="72" t="s">
        <v>1192</v>
      </c>
      <c r="E187" s="72" t="s">
        <v>1197</v>
      </c>
      <c r="F187" s="73" t="s">
        <v>1198</v>
      </c>
      <c r="G187" s="107" t="str">
        <f>'Practices and Requirements'!C354</f>
        <v>P-DEFECT-MNG-2-2</v>
      </c>
      <c r="H187" s="107" t="str">
        <f>'Practices and Requirements'!E354</f>
        <v>To be filled</v>
      </c>
      <c r="I187" s="107">
        <f>'Practices and Requirements'!V354</f>
        <v>0</v>
      </c>
      <c r="J187" s="73">
        <v>0</v>
      </c>
    </row>
    <row r="188" spans="2:10" x14ac:dyDescent="0.3">
      <c r="B188" s="267">
        <v>135</v>
      </c>
      <c r="C188" s="265" t="s">
        <v>1167</v>
      </c>
      <c r="D188" s="265" t="s">
        <v>1192</v>
      </c>
      <c r="E188" s="265" t="s">
        <v>1199</v>
      </c>
      <c r="F188" s="265" t="s">
        <v>1200</v>
      </c>
      <c r="G188" s="107" t="str">
        <f>'Practices and Requirements'!C351</f>
        <v>P-DEFECT-MNG-0-1</v>
      </c>
      <c r="H188" s="107" t="str">
        <f>'Practices and Requirements'!E351</f>
        <v>To be filled</v>
      </c>
      <c r="I188" s="107">
        <f>'Practices and Requirements'!V351</f>
        <v>0</v>
      </c>
      <c r="J188" s="73">
        <v>0</v>
      </c>
    </row>
    <row r="189" spans="2:10" x14ac:dyDescent="0.3">
      <c r="B189" s="267"/>
      <c r="C189" s="265"/>
      <c r="D189" s="265"/>
      <c r="E189" s="265"/>
      <c r="F189" s="265"/>
      <c r="G189" s="107" t="str">
        <f>'Practices and Requirements'!C352</f>
        <v>P-DEFECT-MNG-1-1</v>
      </c>
      <c r="H189" s="107" t="str">
        <f>'Practices and Requirements'!E352</f>
        <v>To be filled</v>
      </c>
      <c r="I189" s="107">
        <f>'Practices and Requirements'!V352</f>
        <v>0</v>
      </c>
      <c r="J189" s="73">
        <v>0</v>
      </c>
    </row>
    <row r="190" spans="2:10" x14ac:dyDescent="0.3">
      <c r="B190" s="267">
        <v>136</v>
      </c>
      <c r="C190" s="265" t="s">
        <v>1167</v>
      </c>
      <c r="D190" s="265" t="s">
        <v>1168</v>
      </c>
      <c r="E190" s="265" t="s">
        <v>1201</v>
      </c>
      <c r="F190" s="265" t="s">
        <v>1202</v>
      </c>
      <c r="G190" s="107" t="str">
        <f>'Practices and Requirements'!C186</f>
        <v>T-PREPROD-DAST-4-3</v>
      </c>
      <c r="H190" s="107" t="str">
        <f>'Practices and Requirements'!E186</f>
        <v>To be filled</v>
      </c>
      <c r="I190" s="107">
        <f>'Practices and Requirements'!V186</f>
        <v>0</v>
      </c>
      <c r="J190" s="73">
        <v>0</v>
      </c>
    </row>
    <row r="191" spans="2:10" x14ac:dyDescent="0.3">
      <c r="B191" s="267"/>
      <c r="C191" s="265"/>
      <c r="D191" s="265"/>
      <c r="E191" s="265"/>
      <c r="F191" s="265"/>
      <c r="G191" s="107" t="str">
        <f>'Practices and Requirements'!C248</f>
        <v>T-PROD-DAST-4-3</v>
      </c>
      <c r="H191" s="107" t="str">
        <f>'Practices and Requirements'!E248</f>
        <v>To be filled</v>
      </c>
      <c r="I191" s="107">
        <f>'Practices and Requirements'!V248</f>
        <v>0</v>
      </c>
      <c r="J191" s="73">
        <v>0</v>
      </c>
    </row>
    <row r="192" spans="2:10" x14ac:dyDescent="0.3">
      <c r="B192" s="267">
        <v>137</v>
      </c>
      <c r="C192" s="265" t="s">
        <v>1167</v>
      </c>
      <c r="D192" s="265" t="s">
        <v>1168</v>
      </c>
      <c r="E192" s="265" t="s">
        <v>1203</v>
      </c>
      <c r="F192" s="265" t="s">
        <v>1204</v>
      </c>
      <c r="G192" s="107" t="str">
        <f>'Practices and Requirements'!C185</f>
        <v>T-PREPROD-DAST-4-2</v>
      </c>
      <c r="H192" s="107" t="str">
        <f>'Practices and Requirements'!E185</f>
        <v>To be filled</v>
      </c>
      <c r="I192" s="107">
        <f>'Practices and Requirements'!V185</f>
        <v>0</v>
      </c>
      <c r="J192" s="73">
        <v>0</v>
      </c>
    </row>
    <row r="193" spans="2:10" x14ac:dyDescent="0.3">
      <c r="B193" s="267"/>
      <c r="C193" s="265"/>
      <c r="D193" s="265"/>
      <c r="E193" s="265"/>
      <c r="F193" s="265"/>
      <c r="G193" s="107" t="str">
        <f>'Practices and Requirements'!C247</f>
        <v>T-PROD-DAST-4-2</v>
      </c>
      <c r="H193" s="107" t="str">
        <f>'Practices and Requirements'!E247</f>
        <v>To be filled</v>
      </c>
      <c r="I193" s="107">
        <f>'Practices and Requirements'!V247</f>
        <v>0</v>
      </c>
      <c r="J193" s="73">
        <v>0</v>
      </c>
    </row>
    <row r="194" spans="2:10" x14ac:dyDescent="0.3">
      <c r="B194" s="61">
        <v>138</v>
      </c>
      <c r="C194" s="72" t="s">
        <v>1167</v>
      </c>
      <c r="D194" s="72" t="s">
        <v>1192</v>
      </c>
      <c r="E194" s="72" t="s">
        <v>1205</v>
      </c>
      <c r="F194" s="73" t="s">
        <v>1206</v>
      </c>
      <c r="G194" s="107"/>
      <c r="H194" s="107"/>
      <c r="I194" s="107"/>
      <c r="J194" s="73">
        <v>0</v>
      </c>
    </row>
    <row r="195" spans="2:10" x14ac:dyDescent="0.3">
      <c r="B195" s="61">
        <v>139</v>
      </c>
      <c r="C195" s="72" t="s">
        <v>1167</v>
      </c>
      <c r="D195" s="72" t="s">
        <v>1192</v>
      </c>
      <c r="E195" s="72" t="s">
        <v>1207</v>
      </c>
      <c r="F195" s="73" t="s">
        <v>1208</v>
      </c>
      <c r="G195" s="107"/>
      <c r="H195" s="107"/>
      <c r="I195" s="107"/>
      <c r="J195" s="73">
        <v>0</v>
      </c>
    </row>
    <row r="196" spans="2:10" x14ac:dyDescent="0.3">
      <c r="B196" s="267">
        <v>140</v>
      </c>
      <c r="C196" s="265" t="s">
        <v>1167</v>
      </c>
      <c r="D196" s="265" t="s">
        <v>1192</v>
      </c>
      <c r="E196" s="265" t="s">
        <v>1209</v>
      </c>
      <c r="F196" s="265" t="s">
        <v>1210</v>
      </c>
      <c r="G196" s="107" t="str">
        <f>'Practices and Requirements'!C359</f>
        <v>P-DEFECT-CNS-0-1</v>
      </c>
      <c r="H196" s="107" t="str">
        <f>'Practices and Requirements'!E359</f>
        <v>To be filled</v>
      </c>
      <c r="I196" s="107">
        <f>'Practices and Requirements'!V359</f>
        <v>0</v>
      </c>
      <c r="J196" s="73">
        <v>0</v>
      </c>
    </row>
    <row r="197" spans="2:10" x14ac:dyDescent="0.3">
      <c r="B197" s="267"/>
      <c r="C197" s="265"/>
      <c r="D197" s="265"/>
      <c r="E197" s="265"/>
      <c r="F197" s="265"/>
      <c r="G197" s="107" t="str">
        <f>'Practices and Requirements'!C360</f>
        <v>P-DEFECT-CNS-1-1</v>
      </c>
      <c r="H197" s="107" t="str">
        <f>'Practices and Requirements'!E360</f>
        <v>To be filled</v>
      </c>
      <c r="I197" s="107">
        <f>'Practices and Requirements'!V360</f>
        <v>0</v>
      </c>
      <c r="J197" s="73">
        <v>0</v>
      </c>
    </row>
    <row r="198" spans="2:10" x14ac:dyDescent="0.3">
      <c r="B198" s="267"/>
      <c r="C198" s="265"/>
      <c r="D198" s="265"/>
      <c r="E198" s="265"/>
      <c r="F198" s="265"/>
      <c r="G198" s="107" t="str">
        <f>'Practices and Requirements'!C362</f>
        <v>P-DEFECT-CNS-2-1</v>
      </c>
      <c r="H198" s="107" t="str">
        <f>'Practices and Requirements'!E362</f>
        <v>To be filled</v>
      </c>
      <c r="I198" s="107">
        <f>'Practices and Requirements'!V362</f>
        <v>0</v>
      </c>
      <c r="J198" s="73">
        <v>0</v>
      </c>
    </row>
    <row r="199" spans="2:10" x14ac:dyDescent="0.3">
      <c r="B199" s="61">
        <v>141</v>
      </c>
      <c r="C199" s="72" t="s">
        <v>1167</v>
      </c>
      <c r="D199" s="72" t="s">
        <v>1168</v>
      </c>
      <c r="E199" s="72" t="s">
        <v>1211</v>
      </c>
      <c r="F199" s="73" t="s">
        <v>1212</v>
      </c>
      <c r="G199" s="107"/>
      <c r="H199" s="107"/>
      <c r="I199" s="107"/>
      <c r="J199" s="73">
        <v>0</v>
      </c>
    </row>
    <row r="200" spans="2:10" x14ac:dyDescent="0.3">
      <c r="B200" s="267">
        <v>142</v>
      </c>
      <c r="C200" s="265" t="s">
        <v>1167</v>
      </c>
      <c r="D200" s="265" t="s">
        <v>1183</v>
      </c>
      <c r="E200" s="265" t="s">
        <v>1213</v>
      </c>
      <c r="F200" s="265" t="s">
        <v>1214</v>
      </c>
      <c r="G200" s="107" t="str">
        <f>'Practices and Requirements'!C198</f>
        <v>T-PREPROD-VULN-0-1</v>
      </c>
      <c r="H200" s="107" t="str">
        <f>'Practices and Requirements'!E198</f>
        <v>To be filled</v>
      </c>
      <c r="I200" s="107">
        <f>'Practices and Requirements'!V198</f>
        <v>0</v>
      </c>
      <c r="J200" s="73">
        <v>0</v>
      </c>
    </row>
    <row r="201" spans="2:10" x14ac:dyDescent="0.3">
      <c r="B201" s="267"/>
      <c r="C201" s="265"/>
      <c r="D201" s="265"/>
      <c r="E201" s="265"/>
      <c r="F201" s="265"/>
      <c r="G201" s="107" t="str">
        <f>'Practices and Requirements'!C269</f>
        <v>T-PROD-VULN-0-1</v>
      </c>
      <c r="H201" s="107" t="str">
        <f>'Practices and Requirements'!E269</f>
        <v>To be filled</v>
      </c>
      <c r="I201" s="107">
        <f>'Practices and Requirements'!V269</f>
        <v>0</v>
      </c>
      <c r="J201" s="73">
        <v>0</v>
      </c>
    </row>
    <row r="202" spans="2:10" x14ac:dyDescent="0.3">
      <c r="B202" s="61">
        <v>143</v>
      </c>
      <c r="C202" s="72" t="s">
        <v>1167</v>
      </c>
      <c r="D202" s="72" t="s">
        <v>1175</v>
      </c>
      <c r="E202" s="72" t="s">
        <v>1215</v>
      </c>
      <c r="F202" s="73" t="s">
        <v>1216</v>
      </c>
      <c r="G202" s="107"/>
      <c r="H202" s="107"/>
      <c r="I202" s="107"/>
      <c r="J202" s="73">
        <v>0</v>
      </c>
    </row>
    <row r="203" spans="2:10" x14ac:dyDescent="0.3">
      <c r="B203" s="61">
        <v>144</v>
      </c>
      <c r="C203" s="72" t="s">
        <v>1167</v>
      </c>
      <c r="D203" s="72" t="s">
        <v>1217</v>
      </c>
      <c r="E203" s="72" t="s">
        <v>1218</v>
      </c>
      <c r="F203" s="73" t="s">
        <v>1219</v>
      </c>
      <c r="G203" s="107"/>
      <c r="H203" s="107"/>
      <c r="I203" s="107"/>
      <c r="J203" s="73">
        <v>0</v>
      </c>
    </row>
    <row r="204" spans="2:10" x14ac:dyDescent="0.3">
      <c r="B204" s="61">
        <v>145</v>
      </c>
      <c r="C204" s="72" t="s">
        <v>1167</v>
      </c>
      <c r="D204" s="72" t="s">
        <v>1180</v>
      </c>
      <c r="E204" s="72" t="s">
        <v>1220</v>
      </c>
      <c r="F204" s="73" t="s">
        <v>1221</v>
      </c>
      <c r="G204" s="107"/>
      <c r="H204" s="107"/>
      <c r="I204" s="107"/>
      <c r="J204" s="73">
        <v>0</v>
      </c>
    </row>
    <row r="205" spans="2:10" x14ac:dyDescent="0.3">
      <c r="B205" s="61">
        <v>146</v>
      </c>
      <c r="C205" s="72" t="s">
        <v>1167</v>
      </c>
      <c r="D205" s="72" t="s">
        <v>1180</v>
      </c>
      <c r="E205" s="72" t="s">
        <v>1222</v>
      </c>
      <c r="F205" s="73" t="s">
        <v>1223</v>
      </c>
      <c r="G205" s="107"/>
      <c r="H205" s="107"/>
      <c r="I205" s="107"/>
      <c r="J205" s="73">
        <v>0</v>
      </c>
    </row>
    <row r="206" spans="2:10" x14ac:dyDescent="0.3">
      <c r="B206" s="61">
        <v>147</v>
      </c>
      <c r="C206" s="72" t="s">
        <v>1167</v>
      </c>
      <c r="D206" s="72" t="s">
        <v>1180</v>
      </c>
      <c r="E206" s="72" t="s">
        <v>1224</v>
      </c>
      <c r="F206" s="73" t="s">
        <v>1225</v>
      </c>
      <c r="G206" s="107"/>
      <c r="H206" s="107"/>
      <c r="I206" s="107"/>
      <c r="J206" s="73">
        <v>0</v>
      </c>
    </row>
    <row r="207" spans="2:10" x14ac:dyDescent="0.3">
      <c r="B207" s="61">
        <v>148</v>
      </c>
      <c r="C207" s="72" t="s">
        <v>1167</v>
      </c>
      <c r="D207" s="72" t="s">
        <v>1226</v>
      </c>
      <c r="E207" s="72" t="s">
        <v>1227</v>
      </c>
      <c r="F207" s="73" t="s">
        <v>1228</v>
      </c>
      <c r="G207" s="107" t="str">
        <f>'Practices and Requirements'!C330</f>
        <v>P-REQ-CR-2-1</v>
      </c>
      <c r="H207" s="107" t="str">
        <f>'Practices and Requirements'!E330</f>
        <v>To be filled</v>
      </c>
      <c r="I207" s="107">
        <f>'Practices and Requirements'!V330</f>
        <v>0</v>
      </c>
      <c r="J207" s="73">
        <v>0</v>
      </c>
    </row>
    <row r="208" spans="2:10" x14ac:dyDescent="0.3">
      <c r="B208" s="267">
        <v>149</v>
      </c>
      <c r="C208" s="265" t="s">
        <v>1167</v>
      </c>
      <c r="D208" s="265" t="s">
        <v>1226</v>
      </c>
      <c r="E208" s="265" t="s">
        <v>1229</v>
      </c>
      <c r="F208" s="265" t="s">
        <v>1230</v>
      </c>
      <c r="G208" s="107" t="str">
        <f>'Practices and Requirements'!C193</f>
        <v>T-PREPROD-SECTEST-0-1</v>
      </c>
      <c r="H208" s="107" t="str">
        <f>'Practices and Requirements'!E193</f>
        <v>To be filled</v>
      </c>
      <c r="I208" s="107">
        <f>'Practices and Requirements'!V193</f>
        <v>0</v>
      </c>
      <c r="J208" s="73">
        <v>0</v>
      </c>
    </row>
    <row r="209" spans="2:10" x14ac:dyDescent="0.3">
      <c r="B209" s="267"/>
      <c r="C209" s="265"/>
      <c r="D209" s="265"/>
      <c r="E209" s="265"/>
      <c r="F209" s="265"/>
      <c r="G209" s="107" t="str">
        <f>'Practices and Requirements'!C328</f>
        <v>P-REQ-CR-0-1</v>
      </c>
      <c r="H209" s="107" t="str">
        <f>'Practices and Requirements'!E328</f>
        <v>To be filled</v>
      </c>
      <c r="I209" s="107">
        <f>'Practices and Requirements'!V328</f>
        <v>0</v>
      </c>
      <c r="J209" s="73">
        <v>0</v>
      </c>
    </row>
    <row r="210" spans="2:10" x14ac:dyDescent="0.3">
      <c r="B210" s="267">
        <v>150</v>
      </c>
      <c r="C210" s="265" t="s">
        <v>1167</v>
      </c>
      <c r="D210" s="265" t="s">
        <v>1226</v>
      </c>
      <c r="E210" s="265" t="s">
        <v>1231</v>
      </c>
      <c r="F210" s="265" t="s">
        <v>1232</v>
      </c>
      <c r="G210" s="107" t="str">
        <f>'Practices and Requirements'!C193</f>
        <v>T-PREPROD-SECTEST-0-1</v>
      </c>
      <c r="H210" s="107" t="str">
        <f>'Practices and Requirements'!E193</f>
        <v>To be filled</v>
      </c>
      <c r="I210" s="107">
        <f>'Practices and Requirements'!V193</f>
        <v>0</v>
      </c>
      <c r="J210" s="73">
        <v>0</v>
      </c>
    </row>
    <row r="211" spans="2:10" x14ac:dyDescent="0.3">
      <c r="B211" s="267"/>
      <c r="C211" s="265"/>
      <c r="D211" s="265"/>
      <c r="E211" s="265"/>
      <c r="F211" s="265"/>
      <c r="G211" s="107" t="str">
        <f>'Practices and Requirements'!C328</f>
        <v>P-REQ-CR-0-1</v>
      </c>
      <c r="H211" s="107" t="str">
        <f>'Practices and Requirements'!E328</f>
        <v>To be filled</v>
      </c>
      <c r="I211" s="107">
        <f>'Practices and Requirements'!V328</f>
        <v>0</v>
      </c>
      <c r="J211" s="73">
        <v>0</v>
      </c>
    </row>
    <row r="212" spans="2:10" x14ac:dyDescent="0.3">
      <c r="B212" s="61">
        <v>151</v>
      </c>
      <c r="C212" s="72" t="s">
        <v>1167</v>
      </c>
      <c r="D212" s="72" t="s">
        <v>1226</v>
      </c>
      <c r="E212" s="72" t="s">
        <v>1233</v>
      </c>
      <c r="F212" s="73" t="s">
        <v>1234</v>
      </c>
      <c r="G212" s="107" t="str">
        <f>'Practices and Requirements'!C329</f>
        <v>P-REQ-CR-1-1</v>
      </c>
      <c r="H212" s="107" t="str">
        <f>'Practices and Requirements'!E329</f>
        <v>To be filled</v>
      </c>
      <c r="I212" s="107">
        <f>'Practices and Requirements'!V329</f>
        <v>0</v>
      </c>
      <c r="J212" s="73">
        <v>0</v>
      </c>
    </row>
    <row r="213" spans="2:10" x14ac:dyDescent="0.3">
      <c r="B213" s="267">
        <v>152</v>
      </c>
      <c r="C213" s="265" t="s">
        <v>1167</v>
      </c>
      <c r="D213" s="265" t="s">
        <v>1168</v>
      </c>
      <c r="E213" s="265" t="s">
        <v>1235</v>
      </c>
      <c r="F213" s="265" t="s">
        <v>1236</v>
      </c>
      <c r="G213" s="107" t="str">
        <f>'Practices and Requirements'!C173</f>
        <v>T-PREPROD-DAST-0-1</v>
      </c>
      <c r="H213" s="107" t="str">
        <f>'Practices and Requirements'!E173</f>
        <v>To be filled</v>
      </c>
      <c r="I213" s="107">
        <f>'Practices and Requirements'!V173</f>
        <v>0</v>
      </c>
      <c r="J213" s="73">
        <v>0</v>
      </c>
    </row>
    <row r="214" spans="2:10" x14ac:dyDescent="0.3">
      <c r="B214" s="267"/>
      <c r="C214" s="265"/>
      <c r="D214" s="265"/>
      <c r="E214" s="265"/>
      <c r="F214" s="265"/>
      <c r="G214" s="107" t="str">
        <f>'Practices and Requirements'!C174</f>
        <v>T-PREPROD-DAST-1-1</v>
      </c>
      <c r="H214" s="107" t="str">
        <f>'Practices and Requirements'!E174</f>
        <v>To be filled</v>
      </c>
      <c r="I214" s="107">
        <f>'Practices and Requirements'!V174</f>
        <v>0</v>
      </c>
      <c r="J214" s="73">
        <v>0</v>
      </c>
    </row>
    <row r="215" spans="2:10" x14ac:dyDescent="0.3">
      <c r="B215" s="267"/>
      <c r="C215" s="265"/>
      <c r="D215" s="265"/>
      <c r="E215" s="265"/>
      <c r="F215" s="265"/>
      <c r="G215" s="107" t="str">
        <f>'Practices and Requirements'!C234</f>
        <v>T-PROD-DAST-0-1</v>
      </c>
      <c r="H215" s="107" t="str">
        <f>'Practices and Requirements'!E234</f>
        <v>To be filled</v>
      </c>
      <c r="I215" s="107">
        <f>'Practices and Requirements'!V234</f>
        <v>0</v>
      </c>
      <c r="J215" s="73">
        <v>0</v>
      </c>
    </row>
    <row r="216" spans="2:10" x14ac:dyDescent="0.3">
      <c r="B216" s="267"/>
      <c r="C216" s="265"/>
      <c r="D216" s="265"/>
      <c r="E216" s="265"/>
      <c r="F216" s="265"/>
      <c r="G216" s="107" t="str">
        <f>'Practices and Requirements'!C235</f>
        <v>T-PROD-DAST-1-1</v>
      </c>
      <c r="H216" s="107" t="str">
        <f>'Practices and Requirements'!E235</f>
        <v>To be filled</v>
      </c>
      <c r="I216" s="107">
        <f>'Practices and Requirements'!V235</f>
        <v>0</v>
      </c>
      <c r="J216" s="73">
        <v>0</v>
      </c>
    </row>
    <row r="217" spans="2:10" x14ac:dyDescent="0.3">
      <c r="B217" s="61">
        <v>153</v>
      </c>
      <c r="C217" s="72" t="s">
        <v>1167</v>
      </c>
      <c r="D217" s="72" t="s">
        <v>1183</v>
      </c>
      <c r="E217" s="72" t="s">
        <v>1237</v>
      </c>
      <c r="F217" s="73" t="s">
        <v>1238</v>
      </c>
      <c r="G217" s="107"/>
      <c r="H217" s="107"/>
      <c r="I217" s="107"/>
      <c r="J217" s="73">
        <v>0</v>
      </c>
    </row>
    <row r="218" spans="2:10" x14ac:dyDescent="0.3">
      <c r="B218" s="267">
        <v>154</v>
      </c>
      <c r="C218" s="265" t="s">
        <v>1167</v>
      </c>
      <c r="D218" s="265" t="s">
        <v>1183</v>
      </c>
      <c r="E218" s="265" t="s">
        <v>1239</v>
      </c>
      <c r="F218" s="265" t="s">
        <v>1240</v>
      </c>
      <c r="G218" s="107" t="str">
        <f>'Practices and Requirements'!C198</f>
        <v>T-PREPROD-VULN-0-1</v>
      </c>
      <c r="H218" s="107" t="str">
        <f>'Practices and Requirements'!E198</f>
        <v>To be filled</v>
      </c>
      <c r="I218" s="107">
        <f>'Practices and Requirements'!V198</f>
        <v>0</v>
      </c>
      <c r="J218" s="73">
        <v>0</v>
      </c>
    </row>
    <row r="219" spans="2:10" x14ac:dyDescent="0.3">
      <c r="B219" s="267"/>
      <c r="C219" s="265"/>
      <c r="D219" s="265"/>
      <c r="E219" s="265"/>
      <c r="F219" s="265"/>
      <c r="G219" s="107" t="str">
        <f>'Practices and Requirements'!C269</f>
        <v>T-PROD-VULN-0-1</v>
      </c>
      <c r="H219" s="107" t="str">
        <f>'Practices and Requirements'!E269</f>
        <v>To be filled</v>
      </c>
      <c r="I219" s="107">
        <f>'Practices and Requirements'!V269</f>
        <v>0</v>
      </c>
      <c r="J219" s="73">
        <v>0</v>
      </c>
    </row>
    <row r="220" spans="2:10" x14ac:dyDescent="0.3">
      <c r="B220" s="61">
        <v>155</v>
      </c>
      <c r="C220" s="72" t="s">
        <v>1167</v>
      </c>
      <c r="D220" s="72" t="s">
        <v>1183</v>
      </c>
      <c r="E220" s="72" t="s">
        <v>1241</v>
      </c>
      <c r="F220" s="73" t="s">
        <v>1242</v>
      </c>
      <c r="G220" s="107"/>
      <c r="H220" s="107"/>
      <c r="I220" s="107"/>
      <c r="J220" s="73">
        <v>0</v>
      </c>
    </row>
    <row r="221" spans="2:10" x14ac:dyDescent="0.3">
      <c r="B221" s="267">
        <v>156</v>
      </c>
      <c r="C221" s="265" t="s">
        <v>1167</v>
      </c>
      <c r="D221" s="265" t="s">
        <v>1183</v>
      </c>
      <c r="E221" s="265" t="s">
        <v>1243</v>
      </c>
      <c r="F221" s="265" t="s">
        <v>1244</v>
      </c>
      <c r="G221" s="107" t="str">
        <f>'Practices and Requirements'!C259</f>
        <v>T-PROD-NETWORK-0-1</v>
      </c>
      <c r="H221" s="107" t="str">
        <f>'Practices and Requirements'!E259</f>
        <v>To be filled</v>
      </c>
      <c r="I221" s="107">
        <f>'Practices and Requirements'!V259</f>
        <v>0</v>
      </c>
      <c r="J221" s="73">
        <v>0</v>
      </c>
    </row>
    <row r="222" spans="2:10" x14ac:dyDescent="0.3">
      <c r="B222" s="267"/>
      <c r="C222" s="265"/>
      <c r="D222" s="265"/>
      <c r="E222" s="265"/>
      <c r="F222" s="265"/>
      <c r="G222" s="107" t="str">
        <f>'Practices and Requirements'!C261</f>
        <v>T-PROD-NETWORK-1-2</v>
      </c>
      <c r="H222" s="107" t="str">
        <f>'Practices and Requirements'!E261</f>
        <v>To be filled</v>
      </c>
      <c r="I222" s="107">
        <f>'Practices and Requirements'!V261</f>
        <v>0</v>
      </c>
      <c r="J222" s="73">
        <v>0</v>
      </c>
    </row>
    <row r="223" spans="2:10" x14ac:dyDescent="0.3">
      <c r="B223" s="267"/>
      <c r="C223" s="265"/>
      <c r="D223" s="265"/>
      <c r="E223" s="265"/>
      <c r="F223" s="265"/>
      <c r="G223" s="107" t="str">
        <f>'Practices and Requirements'!C262</f>
        <v>T-PROD-NETWORK-2-1</v>
      </c>
      <c r="H223" s="107" t="str">
        <f>'Practices and Requirements'!E262</f>
        <v>To be filled</v>
      </c>
      <c r="I223" s="107">
        <f>'Practices and Requirements'!V262</f>
        <v>0</v>
      </c>
      <c r="J223" s="73">
        <v>0</v>
      </c>
    </row>
    <row r="224" spans="2:10" x14ac:dyDescent="0.3">
      <c r="B224" s="61">
        <v>157</v>
      </c>
      <c r="C224" s="72" t="s">
        <v>1167</v>
      </c>
      <c r="D224" s="72" t="s">
        <v>1175</v>
      </c>
      <c r="E224" s="72" t="s">
        <v>1245</v>
      </c>
      <c r="F224" s="73" t="s">
        <v>1246</v>
      </c>
      <c r="G224" s="107"/>
      <c r="H224" s="107"/>
      <c r="I224" s="107"/>
      <c r="J224" s="73">
        <v>0</v>
      </c>
    </row>
    <row r="225" spans="2:10" x14ac:dyDescent="0.3">
      <c r="B225" s="61">
        <v>158</v>
      </c>
      <c r="C225" s="72" t="s">
        <v>1167</v>
      </c>
      <c r="D225" s="72" t="s">
        <v>1180</v>
      </c>
      <c r="E225" s="72" t="s">
        <v>1247</v>
      </c>
      <c r="F225" s="73" t="s">
        <v>1248</v>
      </c>
      <c r="G225" s="107"/>
      <c r="H225" s="107"/>
      <c r="I225" s="107"/>
      <c r="J225" s="73">
        <v>0</v>
      </c>
    </row>
    <row r="226" spans="2:10" x14ac:dyDescent="0.3">
      <c r="B226" s="61">
        <v>159</v>
      </c>
      <c r="C226" s="72" t="s">
        <v>1167</v>
      </c>
      <c r="D226" s="72" t="s">
        <v>1180</v>
      </c>
      <c r="E226" s="72" t="s">
        <v>1249</v>
      </c>
      <c r="F226" s="73" t="s">
        <v>1250</v>
      </c>
      <c r="G226" s="107"/>
      <c r="H226" s="107"/>
      <c r="I226" s="107"/>
      <c r="J226" s="73">
        <v>0</v>
      </c>
    </row>
    <row r="227" spans="2:10" x14ac:dyDescent="0.3">
      <c r="B227" s="61">
        <v>160</v>
      </c>
      <c r="C227" s="72" t="s">
        <v>1167</v>
      </c>
      <c r="D227" s="72" t="s">
        <v>1180</v>
      </c>
      <c r="E227" s="72" t="s">
        <v>1251</v>
      </c>
      <c r="F227" s="73" t="s">
        <v>1252</v>
      </c>
      <c r="G227" s="107"/>
      <c r="H227" s="107"/>
      <c r="I227" s="107"/>
      <c r="J227" s="73">
        <v>0</v>
      </c>
    </row>
    <row r="228" spans="2:10" x14ac:dyDescent="0.3">
      <c r="B228" s="267">
        <v>161</v>
      </c>
      <c r="C228" s="265" t="s">
        <v>1167</v>
      </c>
      <c r="D228" s="265" t="s">
        <v>1180</v>
      </c>
      <c r="E228" s="265" t="s">
        <v>1253</v>
      </c>
      <c r="F228" s="265" t="s">
        <v>1254</v>
      </c>
      <c r="G228" s="107" t="str">
        <f>'Practices and Requirements'!C120</f>
        <v>T-CODE-SST-0-1</v>
      </c>
      <c r="H228" s="107" t="str">
        <f>'Practices and Requirements'!E120</f>
        <v>To be filled</v>
      </c>
      <c r="I228" s="107">
        <f>'Practices and Requirements'!V120</f>
        <v>0</v>
      </c>
      <c r="J228" s="73">
        <v>0</v>
      </c>
    </row>
    <row r="229" spans="2:10" x14ac:dyDescent="0.3">
      <c r="B229" s="267"/>
      <c r="C229" s="265"/>
      <c r="D229" s="265"/>
      <c r="E229" s="265"/>
      <c r="F229" s="265"/>
      <c r="G229" s="107" t="str">
        <f>'Practices and Requirements'!C141</f>
        <v>T-CODE-SC-3-2</v>
      </c>
      <c r="H229" s="107" t="str">
        <f>'Practices and Requirements'!E141</f>
        <v>To be filled</v>
      </c>
      <c r="I229" s="107">
        <f>'Practices and Requirements'!V141</f>
        <v>0</v>
      </c>
      <c r="J229" s="73">
        <v>0</v>
      </c>
    </row>
    <row r="230" spans="2:10" x14ac:dyDescent="0.3">
      <c r="B230" s="61">
        <v>162</v>
      </c>
      <c r="C230" s="72" t="s">
        <v>1167</v>
      </c>
      <c r="D230" s="72" t="s">
        <v>1175</v>
      </c>
      <c r="E230" s="72" t="s">
        <v>1255</v>
      </c>
      <c r="F230" s="73" t="s">
        <v>1256</v>
      </c>
      <c r="G230" s="107"/>
      <c r="H230" s="107"/>
      <c r="I230" s="107"/>
      <c r="J230" s="73">
        <v>0</v>
      </c>
    </row>
    <row r="231" spans="2:10" x14ac:dyDescent="0.3">
      <c r="B231" s="61">
        <v>163</v>
      </c>
      <c r="C231" s="72" t="s">
        <v>1167</v>
      </c>
      <c r="D231" s="72" t="s">
        <v>1217</v>
      </c>
      <c r="E231" s="72" t="s">
        <v>1257</v>
      </c>
      <c r="F231" s="73" t="s">
        <v>1258</v>
      </c>
      <c r="G231" s="107"/>
      <c r="H231" s="107"/>
      <c r="I231" s="107"/>
      <c r="J231" s="73">
        <v>0</v>
      </c>
    </row>
    <row r="232" spans="2:10" x14ac:dyDescent="0.3">
      <c r="B232" s="61">
        <v>164</v>
      </c>
      <c r="C232" s="72" t="s">
        <v>1167</v>
      </c>
      <c r="D232" s="72" t="s">
        <v>1217</v>
      </c>
      <c r="E232" s="72" t="s">
        <v>1259</v>
      </c>
      <c r="F232" s="73" t="s">
        <v>1260</v>
      </c>
      <c r="G232" s="107"/>
      <c r="H232" s="107"/>
      <c r="I232" s="107"/>
      <c r="J232" s="73">
        <v>0</v>
      </c>
    </row>
    <row r="233" spans="2:10" x14ac:dyDescent="0.3">
      <c r="B233" s="61">
        <v>165</v>
      </c>
      <c r="C233" s="72" t="s">
        <v>1167</v>
      </c>
      <c r="D233" s="72" t="s">
        <v>1217</v>
      </c>
      <c r="E233" s="72" t="s">
        <v>1261</v>
      </c>
      <c r="F233" s="73" t="s">
        <v>1262</v>
      </c>
      <c r="G233" s="107"/>
      <c r="H233" s="107"/>
      <c r="I233" s="107"/>
      <c r="J233" s="73">
        <v>0</v>
      </c>
    </row>
    <row r="234" spans="2:10" x14ac:dyDescent="0.3">
      <c r="B234" s="61">
        <v>166</v>
      </c>
      <c r="C234" s="72" t="s">
        <v>1167</v>
      </c>
      <c r="D234" s="72" t="s">
        <v>1217</v>
      </c>
      <c r="E234" s="72" t="s">
        <v>1263</v>
      </c>
      <c r="F234" s="73" t="s">
        <v>1264</v>
      </c>
      <c r="G234" s="107"/>
      <c r="H234" s="107"/>
      <c r="I234" s="107"/>
      <c r="J234" s="73">
        <v>0</v>
      </c>
    </row>
    <row r="235" spans="2:10" x14ac:dyDescent="0.3">
      <c r="B235" s="61">
        <v>167</v>
      </c>
      <c r="C235" s="72" t="s">
        <v>1167</v>
      </c>
      <c r="D235" s="72" t="s">
        <v>1192</v>
      </c>
      <c r="E235" s="72" t="s">
        <v>1265</v>
      </c>
      <c r="F235" s="73" t="s">
        <v>1266</v>
      </c>
      <c r="G235" s="107" t="str">
        <f>'Practices and Requirements'!C357</f>
        <v>P-DEFECT-MNG-3-3</v>
      </c>
      <c r="H235" s="107" t="str">
        <f>'Practices and Requirements'!E357</f>
        <v>To be filled</v>
      </c>
      <c r="I235" s="107">
        <f>'Practices and Requirements'!V357</f>
        <v>0</v>
      </c>
      <c r="J235" s="73">
        <v>0</v>
      </c>
    </row>
    <row r="236" spans="2:10" x14ac:dyDescent="0.3">
      <c r="B236" s="267">
        <v>168</v>
      </c>
      <c r="C236" s="265" t="s">
        <v>1167</v>
      </c>
      <c r="D236" s="265" t="s">
        <v>1192</v>
      </c>
      <c r="E236" s="265" t="s">
        <v>1267</v>
      </c>
      <c r="F236" s="265" t="s">
        <v>1268</v>
      </c>
      <c r="G236" s="107" t="str">
        <f>'Practices and Requirements'!C351</f>
        <v>P-DEFECT-MNG-0-1</v>
      </c>
      <c r="H236" s="107" t="str">
        <f>'Practices and Requirements'!E351</f>
        <v>To be filled</v>
      </c>
      <c r="I236" s="107">
        <f>'Practices and Requirements'!V351</f>
        <v>0</v>
      </c>
      <c r="J236" s="73">
        <v>0</v>
      </c>
    </row>
    <row r="237" spans="2:10" x14ac:dyDescent="0.3">
      <c r="B237" s="267"/>
      <c r="C237" s="265"/>
      <c r="D237" s="265"/>
      <c r="E237" s="265"/>
      <c r="F237" s="265"/>
      <c r="G237" s="107" t="str">
        <f>'Practices and Requirements'!C353</f>
        <v>P-DEFECT-MNG-2-1</v>
      </c>
      <c r="H237" s="107" t="str">
        <f>'Practices and Requirements'!E353</f>
        <v>To be filled</v>
      </c>
      <c r="I237" s="107">
        <f>'Practices and Requirements'!V353</f>
        <v>0</v>
      </c>
      <c r="J237" s="73">
        <v>0</v>
      </c>
    </row>
    <row r="238" spans="2:10" x14ac:dyDescent="0.3">
      <c r="B238" s="61">
        <v>169</v>
      </c>
      <c r="C238" s="72" t="s">
        <v>1167</v>
      </c>
      <c r="D238" s="72" t="s">
        <v>1192</v>
      </c>
      <c r="E238" s="72" t="s">
        <v>1269</v>
      </c>
      <c r="F238" s="73" t="s">
        <v>1270</v>
      </c>
      <c r="G238" s="107" t="str">
        <f>'Practices and Requirements'!C357</f>
        <v>P-DEFECT-MNG-3-3</v>
      </c>
      <c r="H238" s="107" t="str">
        <f>'Practices and Requirements'!E357</f>
        <v>To be filled</v>
      </c>
      <c r="I238" s="107">
        <f>'Practices and Requirements'!V357</f>
        <v>0</v>
      </c>
      <c r="J238" s="73">
        <v>0</v>
      </c>
    </row>
    <row r="239" spans="2:10" x14ac:dyDescent="0.3">
      <c r="B239" s="61">
        <v>170</v>
      </c>
      <c r="C239" s="72" t="s">
        <v>1167</v>
      </c>
      <c r="D239" s="72" t="s">
        <v>1180</v>
      </c>
      <c r="E239" s="72" t="s">
        <v>1271</v>
      </c>
      <c r="F239" s="73" t="s">
        <v>1272</v>
      </c>
      <c r="G239" s="107"/>
      <c r="H239" s="107"/>
      <c r="I239" s="107"/>
      <c r="J239" s="73">
        <v>0</v>
      </c>
    </row>
    <row r="240" spans="2:10" x14ac:dyDescent="0.3">
      <c r="B240" s="61">
        <v>171</v>
      </c>
      <c r="C240" s="72" t="s">
        <v>1167</v>
      </c>
      <c r="D240" s="72" t="s">
        <v>1180</v>
      </c>
      <c r="E240" s="72" t="s">
        <v>1273</v>
      </c>
      <c r="F240" s="73" t="s">
        <v>1274</v>
      </c>
      <c r="G240" s="107" t="str">
        <f>'Practices and Requirements'!C131</f>
        <v>T-CODE-SC-0-1</v>
      </c>
      <c r="H240" s="107" t="str">
        <f>'Practices and Requirements'!E131</f>
        <v>To be filled</v>
      </c>
      <c r="I240" s="107">
        <f>'Practices and Requirements'!V131</f>
        <v>0</v>
      </c>
      <c r="J240" s="73">
        <v>0</v>
      </c>
    </row>
    <row r="241" spans="2:10" x14ac:dyDescent="0.3">
      <c r="B241" s="61">
        <v>172</v>
      </c>
      <c r="C241" s="72" t="s">
        <v>1167</v>
      </c>
      <c r="D241" s="72" t="s">
        <v>1180</v>
      </c>
      <c r="E241" s="72" t="s">
        <v>1275</v>
      </c>
      <c r="F241" s="73" t="s">
        <v>1276</v>
      </c>
      <c r="G241" s="107" t="str">
        <f>'Practices and Requirements'!C131</f>
        <v>T-CODE-SC-0-1</v>
      </c>
      <c r="H241" s="107" t="str">
        <f>'Practices and Requirements'!E131</f>
        <v>To be filled</v>
      </c>
      <c r="I241" s="107">
        <f>'Practices and Requirements'!V131</f>
        <v>0</v>
      </c>
      <c r="J241" s="73">
        <v>0</v>
      </c>
    </row>
    <row r="242" spans="2:10" x14ac:dyDescent="0.3">
      <c r="B242" s="61">
        <v>173</v>
      </c>
      <c r="C242" s="72" t="s">
        <v>1167</v>
      </c>
      <c r="D242" s="72" t="s">
        <v>1180</v>
      </c>
      <c r="E242" s="72" t="s">
        <v>1277</v>
      </c>
      <c r="F242" s="73" t="s">
        <v>1278</v>
      </c>
      <c r="G242" s="107" t="str">
        <f>'Practices and Requirements'!C130</f>
        <v>T-CODE-SST-4-1</v>
      </c>
      <c r="H242" s="107" t="str">
        <f>'Practices and Requirements'!E130</f>
        <v>To be filled</v>
      </c>
      <c r="I242" s="107">
        <f>'Practices and Requirements'!V130</f>
        <v>0</v>
      </c>
      <c r="J242" s="73">
        <v>0</v>
      </c>
    </row>
    <row r="243" spans="2:10" x14ac:dyDescent="0.3">
      <c r="B243" s="267">
        <v>174</v>
      </c>
      <c r="C243" s="265" t="s">
        <v>1167</v>
      </c>
      <c r="D243" s="265" t="s">
        <v>1180</v>
      </c>
      <c r="E243" s="265" t="s">
        <v>1279</v>
      </c>
      <c r="F243" s="265" t="s">
        <v>1280</v>
      </c>
      <c r="G243" s="107" t="str">
        <f>'Practices and Requirements'!C120</f>
        <v>T-CODE-SST-0-1</v>
      </c>
      <c r="H243" s="107" t="str">
        <f>'Practices and Requirements'!E120</f>
        <v>To be filled</v>
      </c>
      <c r="I243" s="107">
        <f>'Practices and Requirements'!V120</f>
        <v>0</v>
      </c>
      <c r="J243" s="73">
        <v>0</v>
      </c>
    </row>
    <row r="244" spans="2:10" x14ac:dyDescent="0.3">
      <c r="B244" s="267"/>
      <c r="C244" s="265"/>
      <c r="D244" s="265"/>
      <c r="E244" s="265"/>
      <c r="F244" s="265"/>
      <c r="G244" s="107" t="str">
        <f>'Practices and Requirements'!C123</f>
        <v>T-CODE-SST-2-1</v>
      </c>
      <c r="H244" s="107" t="str">
        <f>'Practices and Requirements'!E123</f>
        <v>To be filled</v>
      </c>
      <c r="I244" s="107">
        <f>'Practices and Requirements'!V123</f>
        <v>0</v>
      </c>
      <c r="J244" s="73">
        <v>0</v>
      </c>
    </row>
    <row r="245" spans="2:10" x14ac:dyDescent="0.3">
      <c r="B245" s="267">
        <v>175</v>
      </c>
      <c r="C245" s="265" t="s">
        <v>1167</v>
      </c>
      <c r="D245" s="265" t="s">
        <v>1180</v>
      </c>
      <c r="E245" s="265" t="s">
        <v>1281</v>
      </c>
      <c r="F245" s="265" t="s">
        <v>1282</v>
      </c>
      <c r="G245" s="107" t="str">
        <f>'Practices and Requirements'!C120</f>
        <v>T-CODE-SST-0-1</v>
      </c>
      <c r="H245" s="107" t="str">
        <f>'Practices and Requirements'!E120</f>
        <v>To be filled</v>
      </c>
      <c r="I245" s="107">
        <f>'Practices and Requirements'!V120</f>
        <v>0</v>
      </c>
      <c r="J245" s="73">
        <v>0</v>
      </c>
    </row>
    <row r="246" spans="2:10" x14ac:dyDescent="0.3">
      <c r="B246" s="267"/>
      <c r="C246" s="265"/>
      <c r="D246" s="265"/>
      <c r="E246" s="265"/>
      <c r="F246" s="265"/>
      <c r="G246" s="107" t="str">
        <f>'Practices and Requirements'!C123</f>
        <v>T-CODE-SST-2-1</v>
      </c>
      <c r="H246" s="107" t="str">
        <f>'Practices and Requirements'!E123</f>
        <v>To be filled</v>
      </c>
      <c r="I246" s="107">
        <f>'Practices and Requirements'!V123</f>
        <v>0</v>
      </c>
      <c r="J246" s="73">
        <v>0</v>
      </c>
    </row>
    <row r="247" spans="2:10" x14ac:dyDescent="0.3">
      <c r="B247" s="267">
        <v>176</v>
      </c>
      <c r="C247" s="265" t="s">
        <v>1167</v>
      </c>
      <c r="D247" s="265" t="s">
        <v>1180</v>
      </c>
      <c r="E247" s="265" t="s">
        <v>1283</v>
      </c>
      <c r="F247" s="265" t="s">
        <v>1284</v>
      </c>
      <c r="G247" s="107" t="str">
        <f>'Practices and Requirements'!C120</f>
        <v>T-CODE-SST-0-1</v>
      </c>
      <c r="H247" s="107" t="str">
        <f>'Practices and Requirements'!E120</f>
        <v>To be filled</v>
      </c>
      <c r="I247" s="107">
        <f>'Practices and Requirements'!V120</f>
        <v>0</v>
      </c>
      <c r="J247" s="73">
        <v>0</v>
      </c>
    </row>
    <row r="248" spans="2:10" x14ac:dyDescent="0.3">
      <c r="B248" s="267"/>
      <c r="C248" s="265"/>
      <c r="D248" s="265"/>
      <c r="E248" s="265"/>
      <c r="F248" s="265"/>
      <c r="G248" s="107" t="str">
        <f>'Practices and Requirements'!C123</f>
        <v>T-CODE-SST-2-1</v>
      </c>
      <c r="H248" s="107" t="str">
        <f>'Practices and Requirements'!E123</f>
        <v>To be filled</v>
      </c>
      <c r="I248" s="107">
        <f>'Practices and Requirements'!V123</f>
        <v>0</v>
      </c>
      <c r="J248" s="73">
        <v>0</v>
      </c>
    </row>
    <row r="249" spans="2:10" x14ac:dyDescent="0.3">
      <c r="B249" s="61">
        <v>177</v>
      </c>
      <c r="C249" s="72" t="s">
        <v>1167</v>
      </c>
      <c r="D249" s="72" t="s">
        <v>1180</v>
      </c>
      <c r="E249" s="72" t="s">
        <v>1285</v>
      </c>
      <c r="F249" s="73" t="s">
        <v>1286</v>
      </c>
      <c r="G249" s="107"/>
      <c r="H249" s="107"/>
      <c r="I249" s="107"/>
      <c r="J249" s="73">
        <v>0</v>
      </c>
    </row>
    <row r="250" spans="2:10" x14ac:dyDescent="0.3">
      <c r="B250" s="61">
        <v>178</v>
      </c>
      <c r="C250" s="72" t="s">
        <v>1167</v>
      </c>
      <c r="D250" s="72" t="s">
        <v>1175</v>
      </c>
      <c r="E250" s="72" t="s">
        <v>1287</v>
      </c>
      <c r="F250" s="73" t="s">
        <v>1288</v>
      </c>
      <c r="G250" s="107" t="str">
        <f>'Practices and Requirements'!C131</f>
        <v>T-CODE-SC-0-1</v>
      </c>
      <c r="H250" s="107" t="str">
        <f>'Practices and Requirements'!E131</f>
        <v>To be filled</v>
      </c>
      <c r="I250" s="107">
        <f>'Practices and Requirements'!V131</f>
        <v>0</v>
      </c>
      <c r="J250" s="73">
        <v>0</v>
      </c>
    </row>
    <row r="251" spans="2:10" x14ac:dyDescent="0.3">
      <c r="B251" s="61">
        <v>179</v>
      </c>
      <c r="C251" s="72" t="s">
        <v>1167</v>
      </c>
      <c r="D251" s="72" t="s">
        <v>1175</v>
      </c>
      <c r="E251" s="72" t="s">
        <v>1289</v>
      </c>
      <c r="F251" s="73" t="s">
        <v>1290</v>
      </c>
      <c r="G251" s="107"/>
      <c r="H251" s="107"/>
      <c r="I251" s="107"/>
      <c r="J251" s="73">
        <v>0</v>
      </c>
    </row>
    <row r="252" spans="2:10" x14ac:dyDescent="0.3">
      <c r="B252" s="61">
        <v>180</v>
      </c>
      <c r="C252" s="72" t="s">
        <v>1167</v>
      </c>
      <c r="D252" s="72" t="s">
        <v>1175</v>
      </c>
      <c r="E252" s="72" t="s">
        <v>1291</v>
      </c>
      <c r="F252" s="73" t="s">
        <v>1292</v>
      </c>
      <c r="G252" s="107"/>
      <c r="H252" s="107"/>
      <c r="I252" s="107"/>
      <c r="J252" s="73">
        <v>0</v>
      </c>
    </row>
    <row r="253" spans="2:10" x14ac:dyDescent="0.3">
      <c r="B253" s="61">
        <v>181</v>
      </c>
      <c r="C253" s="72" t="s">
        <v>1167</v>
      </c>
      <c r="D253" s="72" t="s">
        <v>1175</v>
      </c>
      <c r="E253" s="72" t="s">
        <v>1293</v>
      </c>
      <c r="F253" s="73" t="s">
        <v>1294</v>
      </c>
      <c r="G253" s="107" t="str">
        <f>'Practices and Requirements'!C269</f>
        <v>T-PROD-VULN-0-1</v>
      </c>
      <c r="H253" s="107" t="str">
        <f>'Practices and Requirements'!E269</f>
        <v>To be filled</v>
      </c>
      <c r="I253" s="107">
        <f>'Practices and Requirements'!V269</f>
        <v>0</v>
      </c>
      <c r="J253" s="73">
        <v>0</v>
      </c>
    </row>
    <row r="254" spans="2:10" x14ac:dyDescent="0.3">
      <c r="B254" s="61">
        <v>182</v>
      </c>
      <c r="C254" s="72" t="s">
        <v>1167</v>
      </c>
      <c r="D254" s="72" t="s">
        <v>1175</v>
      </c>
      <c r="E254" s="72" t="s">
        <v>1295</v>
      </c>
      <c r="F254" s="73" t="s">
        <v>1296</v>
      </c>
      <c r="G254" s="107"/>
      <c r="H254" s="107"/>
      <c r="I254" s="107"/>
      <c r="J254" s="73">
        <v>0</v>
      </c>
    </row>
    <row r="255" spans="2:10" x14ac:dyDescent="0.3">
      <c r="B255" s="61">
        <v>183</v>
      </c>
      <c r="C255" s="72" t="s">
        <v>1167</v>
      </c>
      <c r="D255" s="72" t="s">
        <v>1183</v>
      </c>
      <c r="E255" s="72" t="s">
        <v>1297</v>
      </c>
      <c r="F255" s="73" t="s">
        <v>1298</v>
      </c>
      <c r="G255" s="107"/>
      <c r="H255" s="107"/>
      <c r="I255" s="107"/>
      <c r="J255" s="73">
        <v>0</v>
      </c>
    </row>
    <row r="256" spans="2:10" x14ac:dyDescent="0.3">
      <c r="B256" s="61">
        <v>184</v>
      </c>
      <c r="C256" s="72" t="s">
        <v>1167</v>
      </c>
      <c r="D256" s="72" t="s">
        <v>1175</v>
      </c>
      <c r="E256" s="72" t="s">
        <v>1299</v>
      </c>
      <c r="F256" s="73" t="s">
        <v>1300</v>
      </c>
      <c r="G256" s="107" t="str">
        <f>'Practices and Requirements'!C269</f>
        <v>T-PROD-VULN-0-1</v>
      </c>
      <c r="H256" s="107" t="str">
        <f>'Practices and Requirements'!E269</f>
        <v>To be filled</v>
      </c>
      <c r="I256" s="107">
        <f>'Practices and Requirements'!V269</f>
        <v>0</v>
      </c>
      <c r="J256" s="73">
        <v>0</v>
      </c>
    </row>
    <row r="257" spans="2:10" x14ac:dyDescent="0.3">
      <c r="B257" s="61">
        <v>185</v>
      </c>
      <c r="C257" s="73" t="s">
        <v>1167</v>
      </c>
      <c r="D257" s="73" t="s">
        <v>1192</v>
      </c>
      <c r="E257" s="73" t="s">
        <v>1301</v>
      </c>
      <c r="F257" s="94" t="s">
        <v>1302</v>
      </c>
      <c r="G257" s="107" t="str">
        <f>'Practices and Requirements'!C354</f>
        <v>P-DEFECT-MNG-2-2</v>
      </c>
      <c r="H257" s="107" t="str">
        <f>'Practices and Requirements'!E354</f>
        <v>To be filled</v>
      </c>
      <c r="I257" s="107">
        <f>'Practices and Requirements'!V354</f>
        <v>0</v>
      </c>
      <c r="J257" s="73">
        <v>0</v>
      </c>
    </row>
  </sheetData>
  <autoFilter ref="B1:I1" xr:uid="{00000000-0009-0000-0000-000005000000}"/>
  <mergeCells count="200">
    <mergeCell ref="C11:C16"/>
    <mergeCell ref="D11:D16"/>
    <mergeCell ref="E11:E16"/>
    <mergeCell ref="F11:F16"/>
    <mergeCell ref="F41:F42"/>
    <mergeCell ref="B6:B7"/>
    <mergeCell ref="C6:C7"/>
    <mergeCell ref="D6:D7"/>
    <mergeCell ref="E6:E7"/>
    <mergeCell ref="F6:F7"/>
    <mergeCell ref="B8:B9"/>
    <mergeCell ref="C8:C9"/>
    <mergeCell ref="D8:D9"/>
    <mergeCell ref="E8:E9"/>
    <mergeCell ref="F8:F9"/>
    <mergeCell ref="B53:B54"/>
    <mergeCell ref="B55:B56"/>
    <mergeCell ref="B65:B66"/>
    <mergeCell ref="B72:B75"/>
    <mergeCell ref="B76:B79"/>
    <mergeCell ref="B96:B97"/>
    <mergeCell ref="B80:B81"/>
    <mergeCell ref="B4:B5"/>
    <mergeCell ref="B11:B16"/>
    <mergeCell ref="B18:B20"/>
    <mergeCell ref="B41:B42"/>
    <mergeCell ref="B48:B49"/>
    <mergeCell ref="B82:B84"/>
    <mergeCell ref="B85:B88"/>
    <mergeCell ref="B166:B171"/>
    <mergeCell ref="B172:B175"/>
    <mergeCell ref="B182:B184"/>
    <mergeCell ref="B188:B189"/>
    <mergeCell ref="B190:B191"/>
    <mergeCell ref="B192:B193"/>
    <mergeCell ref="B112:B115"/>
    <mergeCell ref="B118:B119"/>
    <mergeCell ref="B134:B136"/>
    <mergeCell ref="B141:B143"/>
    <mergeCell ref="B145:B148"/>
    <mergeCell ref="B162:B165"/>
    <mergeCell ref="F4:F5"/>
    <mergeCell ref="D18:D20"/>
    <mergeCell ref="E18:E20"/>
    <mergeCell ref="F18:F20"/>
    <mergeCell ref="B247:B248"/>
    <mergeCell ref="C4:C5"/>
    <mergeCell ref="C18:C20"/>
    <mergeCell ref="D4:D5"/>
    <mergeCell ref="E4:E5"/>
    <mergeCell ref="C41:C42"/>
    <mergeCell ref="D41:D42"/>
    <mergeCell ref="E41:E42"/>
    <mergeCell ref="C48:C49"/>
    <mergeCell ref="B218:B219"/>
    <mergeCell ref="B221:B223"/>
    <mergeCell ref="B228:B229"/>
    <mergeCell ref="B236:B237"/>
    <mergeCell ref="B243:B244"/>
    <mergeCell ref="B245:B246"/>
    <mergeCell ref="B196:B198"/>
    <mergeCell ref="B200:B201"/>
    <mergeCell ref="B208:B209"/>
    <mergeCell ref="B210:B211"/>
    <mergeCell ref="B213:B216"/>
    <mergeCell ref="C55:C56"/>
    <mergeCell ref="D55:D56"/>
    <mergeCell ref="E55:E56"/>
    <mergeCell ref="F55:F56"/>
    <mergeCell ref="C65:C66"/>
    <mergeCell ref="D65:D66"/>
    <mergeCell ref="E65:E66"/>
    <mergeCell ref="F65:F66"/>
    <mergeCell ref="D48:D49"/>
    <mergeCell ref="E48:E49"/>
    <mergeCell ref="F48:F49"/>
    <mergeCell ref="C53:C54"/>
    <mergeCell ref="D53:D54"/>
    <mergeCell ref="E53:E54"/>
    <mergeCell ref="F53:F54"/>
    <mergeCell ref="D80:D81"/>
    <mergeCell ref="E80:E81"/>
    <mergeCell ref="F80:F81"/>
    <mergeCell ref="C96:C97"/>
    <mergeCell ref="D96:D97"/>
    <mergeCell ref="E96:E97"/>
    <mergeCell ref="F96:F97"/>
    <mergeCell ref="C72:C75"/>
    <mergeCell ref="D72:D75"/>
    <mergeCell ref="E72:E75"/>
    <mergeCell ref="F72:F75"/>
    <mergeCell ref="C76:C79"/>
    <mergeCell ref="D76:D79"/>
    <mergeCell ref="E76:E79"/>
    <mergeCell ref="F76:F79"/>
    <mergeCell ref="C80:C81"/>
    <mergeCell ref="C82:C84"/>
    <mergeCell ref="D82:D84"/>
    <mergeCell ref="E82:E84"/>
    <mergeCell ref="F82:F84"/>
    <mergeCell ref="C85:C88"/>
    <mergeCell ref="D85:D88"/>
    <mergeCell ref="E85:E88"/>
    <mergeCell ref="F85:F88"/>
    <mergeCell ref="C134:C136"/>
    <mergeCell ref="D134:D136"/>
    <mergeCell ref="E134:E136"/>
    <mergeCell ref="F134:F136"/>
    <mergeCell ref="C141:C143"/>
    <mergeCell ref="D141:D143"/>
    <mergeCell ref="E141:E143"/>
    <mergeCell ref="F141:F143"/>
    <mergeCell ref="C112:C115"/>
    <mergeCell ref="D112:D115"/>
    <mergeCell ref="E112:E115"/>
    <mergeCell ref="F112:F115"/>
    <mergeCell ref="C118:C119"/>
    <mergeCell ref="D118:D119"/>
    <mergeCell ref="E118:E119"/>
    <mergeCell ref="F118:F119"/>
    <mergeCell ref="C166:C171"/>
    <mergeCell ref="C172:C175"/>
    <mergeCell ref="D172:D175"/>
    <mergeCell ref="E172:E175"/>
    <mergeCell ref="F172:F175"/>
    <mergeCell ref="D166:D171"/>
    <mergeCell ref="E166:E171"/>
    <mergeCell ref="F166:F171"/>
    <mergeCell ref="C145:C148"/>
    <mergeCell ref="D145:D148"/>
    <mergeCell ref="E145:E148"/>
    <mergeCell ref="F145:F148"/>
    <mergeCell ref="C162:C165"/>
    <mergeCell ref="D162:D165"/>
    <mergeCell ref="E162:E165"/>
    <mergeCell ref="F162:F165"/>
    <mergeCell ref="C190:C191"/>
    <mergeCell ref="D190:D191"/>
    <mergeCell ref="E190:E191"/>
    <mergeCell ref="F190:F191"/>
    <mergeCell ref="C192:C193"/>
    <mergeCell ref="D192:D193"/>
    <mergeCell ref="E192:E193"/>
    <mergeCell ref="F192:F193"/>
    <mergeCell ref="C182:C184"/>
    <mergeCell ref="D182:D184"/>
    <mergeCell ref="E182:E184"/>
    <mergeCell ref="F182:F184"/>
    <mergeCell ref="C188:C189"/>
    <mergeCell ref="D188:D189"/>
    <mergeCell ref="E188:E189"/>
    <mergeCell ref="F188:F189"/>
    <mergeCell ref="C208:C209"/>
    <mergeCell ref="D208:D209"/>
    <mergeCell ref="E208:E209"/>
    <mergeCell ref="F208:F209"/>
    <mergeCell ref="C210:C211"/>
    <mergeCell ref="D210:D211"/>
    <mergeCell ref="E210:E211"/>
    <mergeCell ref="F210:F211"/>
    <mergeCell ref="C196:C198"/>
    <mergeCell ref="D196:D198"/>
    <mergeCell ref="E196:E198"/>
    <mergeCell ref="F196:F198"/>
    <mergeCell ref="C200:C201"/>
    <mergeCell ref="D200:D201"/>
    <mergeCell ref="E200:E201"/>
    <mergeCell ref="F200:F201"/>
    <mergeCell ref="C221:C223"/>
    <mergeCell ref="D221:D223"/>
    <mergeCell ref="E221:E223"/>
    <mergeCell ref="F221:F223"/>
    <mergeCell ref="C228:C229"/>
    <mergeCell ref="D228:D229"/>
    <mergeCell ref="E228:E229"/>
    <mergeCell ref="F228:F229"/>
    <mergeCell ref="C213:C216"/>
    <mergeCell ref="D213:D216"/>
    <mergeCell ref="E213:E216"/>
    <mergeCell ref="F213:F216"/>
    <mergeCell ref="C218:C219"/>
    <mergeCell ref="D218:D219"/>
    <mergeCell ref="E218:E219"/>
    <mergeCell ref="F218:F219"/>
    <mergeCell ref="F247:F248"/>
    <mergeCell ref="C247:C248"/>
    <mergeCell ref="D243:D244"/>
    <mergeCell ref="D245:D246"/>
    <mergeCell ref="D247:D248"/>
    <mergeCell ref="E243:E244"/>
    <mergeCell ref="E245:E246"/>
    <mergeCell ref="E247:E248"/>
    <mergeCell ref="C236:C237"/>
    <mergeCell ref="D236:D237"/>
    <mergeCell ref="E236:E237"/>
    <mergeCell ref="F236:F237"/>
    <mergeCell ref="C243:C244"/>
    <mergeCell ref="C245:C246"/>
    <mergeCell ref="F243:F244"/>
    <mergeCell ref="F245:F246"/>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M194"/>
  <sheetViews>
    <sheetView zoomScale="70" zoomScaleNormal="70" workbookViewId="0">
      <pane ySplit="1" topLeftCell="A2" activePane="bottomLeft" state="frozen"/>
      <selection pane="bottomLeft" activeCell="K16" sqref="K16:K17"/>
    </sheetView>
  </sheetViews>
  <sheetFormatPr defaultColWidth="9" defaultRowHeight="16.5" x14ac:dyDescent="0.3"/>
  <cols>
    <col min="1" max="1" width="2.140625" style="2" customWidth="1"/>
    <col min="2" max="2" width="9" style="7" bestFit="1"/>
    <col min="3" max="3" width="95" style="3" customWidth="1"/>
    <col min="4" max="4" width="24.28515625" style="7" bestFit="1" customWidth="1"/>
    <col min="5" max="5" width="21.42578125" style="7" customWidth="1"/>
    <col min="6" max="6" width="16.5703125" style="7" bestFit="1" customWidth="1"/>
    <col min="7" max="7" width="8.28515625" style="7" hidden="1" customWidth="1"/>
    <col min="8" max="8" width="10.5703125" style="7" hidden="1" customWidth="1"/>
    <col min="9" max="9" width="9" style="2"/>
    <col min="10" max="10" width="24.28515625" style="2" customWidth="1"/>
    <col min="11" max="11" width="16.5703125" style="2" customWidth="1"/>
    <col min="12" max="12" width="25.7109375" style="2" customWidth="1"/>
    <col min="13" max="16384" width="9" style="2"/>
  </cols>
  <sheetData>
    <row r="1" spans="1:12" ht="49.5" x14ac:dyDescent="0.3">
      <c r="B1" s="96" t="s">
        <v>0</v>
      </c>
      <c r="C1" s="123" t="s">
        <v>909</v>
      </c>
      <c r="D1" s="123" t="s">
        <v>2024</v>
      </c>
      <c r="E1" s="123" t="s">
        <v>2025</v>
      </c>
      <c r="F1" s="123" t="s">
        <v>2026</v>
      </c>
      <c r="G1" s="97" t="s">
        <v>2031</v>
      </c>
      <c r="H1" s="97" t="s">
        <v>2032</v>
      </c>
      <c r="J1" s="116" t="s">
        <v>2018</v>
      </c>
      <c r="K1" s="123" t="s">
        <v>2014</v>
      </c>
      <c r="L1" s="123" t="s">
        <v>2019</v>
      </c>
    </row>
    <row r="2" spans="1:12" s="50" customFormat="1" ht="20.25" x14ac:dyDescent="0.3">
      <c r="A2" s="2"/>
      <c r="B2" s="271" t="s">
        <v>1785</v>
      </c>
      <c r="C2" s="272"/>
      <c r="D2" s="272"/>
      <c r="E2" s="272"/>
      <c r="F2" s="273"/>
      <c r="G2" s="74"/>
      <c r="H2" s="74"/>
      <c r="J2" s="49">
        <f>COUNTA(G2:G256)</f>
        <v>62</v>
      </c>
      <c r="K2" s="49">
        <f>COUNTA(H2:H194)</f>
        <v>126</v>
      </c>
      <c r="L2" s="60">
        <f>(J2/K2)*100</f>
        <v>49.206349206349202</v>
      </c>
    </row>
    <row r="3" spans="1:12" s="50" customFormat="1" ht="17.25" x14ac:dyDescent="0.3">
      <c r="A3" s="2"/>
      <c r="B3" s="274" t="s">
        <v>1786</v>
      </c>
      <c r="C3" s="275"/>
      <c r="D3" s="275"/>
      <c r="E3" s="275"/>
      <c r="F3" s="276"/>
      <c r="G3" s="74"/>
      <c r="H3" s="74"/>
    </row>
    <row r="4" spans="1:12" x14ac:dyDescent="0.3">
      <c r="B4" s="74" t="s">
        <v>1787</v>
      </c>
      <c r="C4" s="98" t="s">
        <v>1788</v>
      </c>
      <c r="D4" s="74" t="str">
        <f>'Practices and Requirements'!$C$298</f>
        <v>P-EDU-KB-2-1</v>
      </c>
      <c r="E4" s="124" t="str">
        <f>'Practices and Requirements'!E298</f>
        <v>To be filled</v>
      </c>
      <c r="F4" s="152">
        <f>'Practices and Requirements'!M298</f>
        <v>0</v>
      </c>
      <c r="G4" s="74">
        <v>0</v>
      </c>
      <c r="H4" s="74">
        <v>0</v>
      </c>
    </row>
    <row r="5" spans="1:12" x14ac:dyDescent="0.3">
      <c r="B5" s="74" t="s">
        <v>1789</v>
      </c>
      <c r="C5" s="98" t="s">
        <v>1790</v>
      </c>
      <c r="D5" s="74"/>
      <c r="E5" s="74"/>
      <c r="F5" s="152"/>
      <c r="G5" s="74"/>
      <c r="H5" s="74">
        <v>0</v>
      </c>
    </row>
    <row r="6" spans="1:12" x14ac:dyDescent="0.3">
      <c r="B6" s="267" t="s">
        <v>673</v>
      </c>
      <c r="C6" s="268" t="s">
        <v>1791</v>
      </c>
      <c r="D6" s="74" t="str">
        <f>'Practices and Requirements'!C329</f>
        <v>P-REQ-CR-1-1</v>
      </c>
      <c r="E6" s="124" t="str">
        <f>'Practices and Requirements'!E329</f>
        <v>To be filled</v>
      </c>
      <c r="F6" s="152">
        <f>'Practices and Requirements'!M329</f>
        <v>0</v>
      </c>
      <c r="G6" s="267">
        <v>0</v>
      </c>
      <c r="H6" s="267">
        <v>0</v>
      </c>
    </row>
    <row r="7" spans="1:12" x14ac:dyDescent="0.3">
      <c r="B7" s="267"/>
      <c r="C7" s="268"/>
      <c r="D7" s="74" t="str">
        <f>'Practices and Requirements'!C330</f>
        <v>P-REQ-CR-2-1</v>
      </c>
      <c r="E7" s="124" t="str">
        <f>'Practices and Requirements'!E330</f>
        <v>To be filled</v>
      </c>
      <c r="F7" s="152">
        <f>'Practices and Requirements'!M330</f>
        <v>0</v>
      </c>
      <c r="G7" s="267"/>
      <c r="H7" s="267"/>
    </row>
    <row r="8" spans="1:12" x14ac:dyDescent="0.3">
      <c r="B8" s="267"/>
      <c r="C8" s="268"/>
      <c r="D8" s="74" t="str">
        <f>'Practices and Requirements'!C331</f>
        <v>P-REQ-CR-3-1</v>
      </c>
      <c r="E8" s="124" t="str">
        <f>'Practices and Requirements'!E331</f>
        <v>To be filled</v>
      </c>
      <c r="F8" s="152">
        <f>'Practices and Requirements'!M331</f>
        <v>0</v>
      </c>
      <c r="G8" s="267"/>
      <c r="H8" s="267"/>
    </row>
    <row r="9" spans="1:12" x14ac:dyDescent="0.3">
      <c r="B9" s="267"/>
      <c r="C9" s="268"/>
      <c r="D9" s="74" t="str">
        <f>'Practices and Requirements'!C332</f>
        <v>P-REQ-CR-4-1</v>
      </c>
      <c r="E9" s="124" t="str">
        <f>'Practices and Requirements'!E332</f>
        <v>To be filled</v>
      </c>
      <c r="F9" s="152">
        <f>'Practices and Requirements'!M332</f>
        <v>0</v>
      </c>
      <c r="G9" s="267"/>
      <c r="H9" s="267"/>
    </row>
    <row r="10" spans="1:12" x14ac:dyDescent="0.3">
      <c r="B10" s="74" t="s">
        <v>388</v>
      </c>
      <c r="C10" s="98" t="s">
        <v>1792</v>
      </c>
      <c r="D10" s="74" t="str">
        <f>'Practices and Requirements'!C379</f>
        <v>P-MET-EX-3-3</v>
      </c>
      <c r="E10" s="124" t="str">
        <f>'Practices and Requirements'!E379</f>
        <v>To be filled</v>
      </c>
      <c r="F10" s="152">
        <f>'Practices and Requirements'!M379</f>
        <v>0</v>
      </c>
      <c r="G10" s="74">
        <v>0</v>
      </c>
      <c r="H10" s="74">
        <v>0</v>
      </c>
    </row>
    <row r="11" spans="1:12" x14ac:dyDescent="0.3">
      <c r="B11" s="267" t="s">
        <v>296</v>
      </c>
      <c r="C11" s="268" t="s">
        <v>1793</v>
      </c>
      <c r="D11" s="74" t="str">
        <f>'Practices and Requirements'!C331</f>
        <v>P-REQ-CR-3-1</v>
      </c>
      <c r="E11" s="124" t="str">
        <f>'Practices and Requirements'!E331</f>
        <v>To be filled</v>
      </c>
      <c r="F11" s="152">
        <f>'Practices and Requirements'!M331</f>
        <v>0</v>
      </c>
      <c r="G11" s="267">
        <v>0</v>
      </c>
      <c r="H11" s="267">
        <v>0</v>
      </c>
    </row>
    <row r="12" spans="1:12" x14ac:dyDescent="0.3">
      <c r="B12" s="267"/>
      <c r="C12" s="268"/>
      <c r="D12" s="74" t="str">
        <f>'Practices and Requirements'!C357</f>
        <v>P-DEFECT-MNG-3-3</v>
      </c>
      <c r="E12" s="124" t="str">
        <f>'Practices and Requirements'!E357</f>
        <v>To be filled</v>
      </c>
      <c r="F12" s="152">
        <f>'Practices and Requirements'!M357</f>
        <v>0</v>
      </c>
      <c r="G12" s="267"/>
      <c r="H12" s="267"/>
    </row>
    <row r="13" spans="1:12" x14ac:dyDescent="0.3">
      <c r="B13" s="74" t="s">
        <v>367</v>
      </c>
      <c r="C13" s="98" t="s">
        <v>1794</v>
      </c>
      <c r="D13" s="74" t="str">
        <f>'Practices and Requirements'!C383</f>
        <v>P-ROLE-SC-0-1</v>
      </c>
      <c r="E13" s="124" t="str">
        <f>'Practices and Requirements'!E383</f>
        <v>To be filled</v>
      </c>
      <c r="F13" s="152">
        <f>'Practices and Requirements'!M383</f>
        <v>0</v>
      </c>
      <c r="G13" s="74">
        <v>0</v>
      </c>
      <c r="H13" s="74">
        <v>0</v>
      </c>
    </row>
    <row r="14" spans="1:12" x14ac:dyDescent="0.3">
      <c r="B14" s="74" t="s">
        <v>1795</v>
      </c>
      <c r="C14" s="98" t="s">
        <v>1796</v>
      </c>
      <c r="D14" s="74"/>
      <c r="E14" s="74"/>
      <c r="F14" s="152"/>
      <c r="G14" s="74"/>
      <c r="H14" s="74">
        <v>0</v>
      </c>
    </row>
    <row r="15" spans="1:12" x14ac:dyDescent="0.3">
      <c r="B15" s="74" t="s">
        <v>1797</v>
      </c>
      <c r="C15" s="98" t="s">
        <v>1798</v>
      </c>
      <c r="D15" s="74"/>
      <c r="E15" s="74"/>
      <c r="F15" s="152"/>
      <c r="G15" s="74"/>
      <c r="H15" s="74">
        <v>0</v>
      </c>
    </row>
    <row r="16" spans="1:12" x14ac:dyDescent="0.3">
      <c r="B16" s="267" t="s">
        <v>675</v>
      </c>
      <c r="C16" s="268" t="s">
        <v>1799</v>
      </c>
      <c r="D16" s="74" t="str">
        <f>'Practices and Requirements'!C202</f>
        <v>T-PREPROD-VULN-2-2</v>
      </c>
      <c r="E16" s="124" t="str">
        <f>'Practices and Requirements'!E202</f>
        <v>To be filled</v>
      </c>
      <c r="F16" s="152">
        <f>'Practices and Requirements'!M202</f>
        <v>0</v>
      </c>
      <c r="G16" s="267">
        <v>0</v>
      </c>
      <c r="H16" s="267">
        <v>0</v>
      </c>
    </row>
    <row r="17" spans="1:8" x14ac:dyDescent="0.3">
      <c r="B17" s="267"/>
      <c r="C17" s="268"/>
      <c r="D17" s="74" t="str">
        <f>'Practices and Requirements'!C273</f>
        <v>T-PROD-VULN-2-2</v>
      </c>
      <c r="E17" s="124" t="str">
        <f>'Practices and Requirements'!E273</f>
        <v>To be filled</v>
      </c>
      <c r="F17" s="152">
        <f>'Practices and Requirements'!M273</f>
        <v>0</v>
      </c>
      <c r="G17" s="267"/>
      <c r="H17" s="267"/>
    </row>
    <row r="18" spans="1:8" x14ac:dyDescent="0.3">
      <c r="B18" s="267"/>
      <c r="C18" s="268"/>
      <c r="D18" s="74" t="str">
        <f>'Practices and Requirements'!C363</f>
        <v>P-DEFECT-CNS-3-1</v>
      </c>
      <c r="E18" s="124" t="str">
        <f>'Practices and Requirements'!E363</f>
        <v>To be filled</v>
      </c>
      <c r="F18" s="152">
        <f>'Practices and Requirements'!M363</f>
        <v>0</v>
      </c>
      <c r="G18" s="267"/>
      <c r="H18" s="267"/>
    </row>
    <row r="19" spans="1:8" x14ac:dyDescent="0.3">
      <c r="B19" s="267"/>
      <c r="C19" s="268"/>
      <c r="D19" s="74" t="str">
        <f>'Practices and Requirements'!C364</f>
        <v>P-DEFECT-CNS-3-2</v>
      </c>
      <c r="E19" s="124" t="str">
        <f>'Practices and Requirements'!E364</f>
        <v>To be filled</v>
      </c>
      <c r="F19" s="152">
        <f>'Practices and Requirements'!M364</f>
        <v>0</v>
      </c>
      <c r="G19" s="267"/>
      <c r="H19" s="267"/>
    </row>
    <row r="20" spans="1:8" x14ac:dyDescent="0.3">
      <c r="B20" s="267"/>
      <c r="C20" s="268"/>
      <c r="D20" s="74" t="str">
        <f>'Practices and Requirements'!C365</f>
        <v>P-DEFECT-CNS-4-1</v>
      </c>
      <c r="E20" s="124" t="str">
        <f>'Practices and Requirements'!E365</f>
        <v>To be filled</v>
      </c>
      <c r="F20" s="152">
        <f>'Practices and Requirements'!M365</f>
        <v>0</v>
      </c>
      <c r="G20" s="267"/>
      <c r="H20" s="267"/>
    </row>
    <row r="21" spans="1:8" x14ac:dyDescent="0.3">
      <c r="B21" s="74" t="s">
        <v>1800</v>
      </c>
      <c r="C21" s="98" t="s">
        <v>1801</v>
      </c>
      <c r="D21" s="74"/>
      <c r="E21" s="74"/>
      <c r="F21" s="152"/>
      <c r="G21" s="74"/>
      <c r="H21" s="74">
        <v>0</v>
      </c>
    </row>
    <row r="22" spans="1:8" x14ac:dyDescent="0.3">
      <c r="B22" s="267" t="s">
        <v>352</v>
      </c>
      <c r="C22" s="268" t="s">
        <v>1802</v>
      </c>
      <c r="D22" s="74" t="str">
        <f>'Practices and Requirements'!C370</f>
        <v>P-MET-SET-2-1</v>
      </c>
      <c r="E22" s="124" t="str">
        <f>'Practices and Requirements'!E370</f>
        <v>To be filled</v>
      </c>
      <c r="F22" s="152">
        <f>'Practices and Requirements'!M370</f>
        <v>0</v>
      </c>
      <c r="G22" s="267">
        <v>0</v>
      </c>
      <c r="H22" s="267">
        <v>0</v>
      </c>
    </row>
    <row r="23" spans="1:8" x14ac:dyDescent="0.3">
      <c r="B23" s="267"/>
      <c r="C23" s="268"/>
      <c r="D23" s="74" t="str">
        <f>'Practices and Requirements'!C372</f>
        <v>P-MET-SET-3-1</v>
      </c>
      <c r="E23" s="124" t="str">
        <f>'Practices and Requirements'!E372</f>
        <v>To be filled</v>
      </c>
      <c r="F23" s="152">
        <f>'Practices and Requirements'!M372</f>
        <v>0</v>
      </c>
      <c r="G23" s="267"/>
      <c r="H23" s="267"/>
    </row>
    <row r="24" spans="1:8" x14ac:dyDescent="0.3">
      <c r="B24" s="267"/>
      <c r="C24" s="268"/>
      <c r="D24" s="74" t="str">
        <f>'Practices and Requirements'!C375</f>
        <v>P-MET-EX-2-1</v>
      </c>
      <c r="E24" s="124" t="str">
        <f>'Practices and Requirements'!E375</f>
        <v>To be filled</v>
      </c>
      <c r="F24" s="152">
        <f>'Practices and Requirements'!M375</f>
        <v>0</v>
      </c>
      <c r="G24" s="267"/>
      <c r="H24" s="267"/>
    </row>
    <row r="25" spans="1:8" x14ac:dyDescent="0.3">
      <c r="B25" s="267" t="s">
        <v>657</v>
      </c>
      <c r="C25" s="268" t="s">
        <v>1803</v>
      </c>
      <c r="D25" s="74" t="str">
        <f>'Practices and Requirements'!C98</f>
        <v>T-DEV-CICD-1-3</v>
      </c>
      <c r="E25" s="124" t="str">
        <f>'Practices and Requirements'!E98</f>
        <v>To be filled</v>
      </c>
      <c r="F25" s="152">
        <f>'Practices and Requirements'!M98</f>
        <v>0</v>
      </c>
      <c r="G25" s="267">
        <v>0</v>
      </c>
      <c r="H25" s="267">
        <v>0</v>
      </c>
    </row>
    <row r="26" spans="1:8" x14ac:dyDescent="0.3">
      <c r="B26" s="267"/>
      <c r="C26" s="268"/>
      <c r="D26" s="74" t="str">
        <f>'Practices and Requirements'!C125</f>
        <v>T-CODE-SST-2-3</v>
      </c>
      <c r="E26" s="124" t="str">
        <f>'Practices and Requirements'!E125</f>
        <v>To be filled</v>
      </c>
      <c r="F26" s="152">
        <f>'Practices and Requirements'!M125</f>
        <v>0</v>
      </c>
      <c r="G26" s="267"/>
      <c r="H26" s="267"/>
    </row>
    <row r="27" spans="1:8" x14ac:dyDescent="0.3">
      <c r="B27" s="267"/>
      <c r="C27" s="268"/>
      <c r="D27" s="74" t="str">
        <f>'Practices and Requirements'!C138</f>
        <v>T-CODE-SC-2-4</v>
      </c>
      <c r="E27" s="124" t="str">
        <f>'Practices and Requirements'!E138</f>
        <v>To be filled</v>
      </c>
      <c r="F27" s="152">
        <f>'Practices and Requirements'!M138</f>
        <v>0</v>
      </c>
      <c r="G27" s="267"/>
      <c r="H27" s="267"/>
    </row>
    <row r="28" spans="1:8" x14ac:dyDescent="0.3">
      <c r="B28" s="267"/>
      <c r="C28" s="268"/>
      <c r="D28" s="74" t="str">
        <f>'Practices and Requirements'!C149</f>
        <v>T-CODE-IMG-2-1</v>
      </c>
      <c r="E28" s="124" t="str">
        <f>'Practices and Requirements'!E149</f>
        <v>To be filled</v>
      </c>
      <c r="F28" s="152">
        <f>'Practices and Requirements'!M149</f>
        <v>0</v>
      </c>
      <c r="G28" s="267"/>
      <c r="H28" s="267"/>
    </row>
    <row r="29" spans="1:8" x14ac:dyDescent="0.3">
      <c r="B29" s="267"/>
      <c r="C29" s="268"/>
      <c r="D29" s="74" t="str">
        <f>'Practices and Requirements'!C354</f>
        <v>P-DEFECT-MNG-2-2</v>
      </c>
      <c r="E29" s="124" t="str">
        <f>'Practices and Requirements'!E354</f>
        <v>To be filled</v>
      </c>
      <c r="F29" s="152">
        <f>'Practices and Requirements'!M354</f>
        <v>0</v>
      </c>
      <c r="G29" s="267"/>
      <c r="H29" s="267"/>
    </row>
    <row r="30" spans="1:8" x14ac:dyDescent="0.3">
      <c r="B30" s="74" t="s">
        <v>658</v>
      </c>
      <c r="C30" s="98" t="s">
        <v>1804</v>
      </c>
      <c r="D30" s="74" t="str">
        <f>'Practices and Requirements'!C131</f>
        <v>T-CODE-SC-0-1</v>
      </c>
      <c r="E30" s="124" t="str">
        <f>'Practices and Requirements'!E131</f>
        <v>To be filled</v>
      </c>
      <c r="F30" s="152">
        <f>'Practices and Requirements'!M131</f>
        <v>0</v>
      </c>
      <c r="G30" s="74">
        <v>0</v>
      </c>
      <c r="H30" s="74">
        <v>0</v>
      </c>
    </row>
    <row r="31" spans="1:8" s="50" customFormat="1" ht="17.25" x14ac:dyDescent="0.3">
      <c r="A31" s="2"/>
      <c r="B31" s="269" t="s">
        <v>1805</v>
      </c>
      <c r="C31" s="269"/>
      <c r="D31" s="269"/>
      <c r="E31" s="269"/>
      <c r="F31" s="269"/>
      <c r="G31" s="74"/>
      <c r="H31" s="74"/>
    </row>
    <row r="32" spans="1:8" x14ac:dyDescent="0.3">
      <c r="B32" s="74" t="s">
        <v>1806</v>
      </c>
      <c r="C32" s="98" t="s">
        <v>1807</v>
      </c>
      <c r="D32" s="74"/>
      <c r="E32" s="74"/>
      <c r="F32" s="152"/>
      <c r="G32" s="74"/>
      <c r="H32" s="74">
        <v>0</v>
      </c>
    </row>
    <row r="33" spans="1:8" x14ac:dyDescent="0.3">
      <c r="B33" s="74" t="s">
        <v>1808</v>
      </c>
      <c r="C33" s="98" t="s">
        <v>1809</v>
      </c>
      <c r="D33" s="74"/>
      <c r="E33" s="74"/>
      <c r="F33" s="152"/>
      <c r="G33" s="74"/>
      <c r="H33" s="74">
        <v>0</v>
      </c>
    </row>
    <row r="34" spans="1:8" x14ac:dyDescent="0.3">
      <c r="B34" s="74" t="s">
        <v>1810</v>
      </c>
      <c r="C34" s="98" t="s">
        <v>1811</v>
      </c>
      <c r="D34" s="74"/>
      <c r="E34" s="74"/>
      <c r="F34" s="152"/>
      <c r="G34" s="74"/>
      <c r="H34" s="74">
        <v>0</v>
      </c>
    </row>
    <row r="35" spans="1:8" x14ac:dyDescent="0.3">
      <c r="B35" s="74" t="s">
        <v>1812</v>
      </c>
      <c r="C35" s="98" t="s">
        <v>1813</v>
      </c>
      <c r="D35" s="74"/>
      <c r="E35" s="74"/>
      <c r="F35" s="152"/>
      <c r="G35" s="74"/>
      <c r="H35" s="74">
        <v>0</v>
      </c>
    </row>
    <row r="36" spans="1:8" x14ac:dyDescent="0.3">
      <c r="B36" s="74" t="s">
        <v>1814</v>
      </c>
      <c r="C36" s="98" t="s">
        <v>1815</v>
      </c>
      <c r="D36" s="74"/>
      <c r="E36" s="74"/>
      <c r="F36" s="152"/>
      <c r="G36" s="74"/>
      <c r="H36" s="74">
        <v>0</v>
      </c>
    </row>
    <row r="37" spans="1:8" x14ac:dyDescent="0.3">
      <c r="B37" s="267" t="s">
        <v>671</v>
      </c>
      <c r="C37" s="268" t="s">
        <v>1816</v>
      </c>
      <c r="D37" s="74" t="str">
        <f>'Practices and Requirements'!C328</f>
        <v>P-REQ-CR-0-1</v>
      </c>
      <c r="E37" s="124" t="str">
        <f>'Practices and Requirements'!E328</f>
        <v>To be filled</v>
      </c>
      <c r="F37" s="152">
        <f>'Practices and Requirements'!M328</f>
        <v>0</v>
      </c>
      <c r="G37" s="267">
        <v>0</v>
      </c>
      <c r="H37" s="267">
        <v>0</v>
      </c>
    </row>
    <row r="38" spans="1:8" x14ac:dyDescent="0.3">
      <c r="B38" s="267"/>
      <c r="C38" s="268"/>
      <c r="D38" s="74" t="str">
        <f>'Practices and Requirements'!C329</f>
        <v>P-REQ-CR-1-1</v>
      </c>
      <c r="E38" s="124" t="str">
        <f>'Practices and Requirements'!E329</f>
        <v>To be filled</v>
      </c>
      <c r="F38" s="152">
        <f>'Practices and Requirements'!M329</f>
        <v>0</v>
      </c>
      <c r="G38" s="267"/>
      <c r="H38" s="267"/>
    </row>
    <row r="39" spans="1:8" x14ac:dyDescent="0.3">
      <c r="B39" s="267"/>
      <c r="C39" s="268"/>
      <c r="D39" s="74" t="str">
        <f>'Practices and Requirements'!C330</f>
        <v>P-REQ-CR-2-1</v>
      </c>
      <c r="E39" s="124" t="str">
        <f>'Practices and Requirements'!E330</f>
        <v>To be filled</v>
      </c>
      <c r="F39" s="152">
        <f>'Practices and Requirements'!M330</f>
        <v>0</v>
      </c>
      <c r="G39" s="267"/>
      <c r="H39" s="267"/>
    </row>
    <row r="40" spans="1:8" x14ac:dyDescent="0.3">
      <c r="B40" s="74" t="s">
        <v>1817</v>
      </c>
      <c r="C40" s="98" t="s">
        <v>1818</v>
      </c>
      <c r="D40" s="74"/>
      <c r="E40" s="74"/>
      <c r="F40" s="152"/>
      <c r="G40" s="74"/>
      <c r="H40" s="74">
        <v>0</v>
      </c>
    </row>
    <row r="41" spans="1:8" x14ac:dyDescent="0.3">
      <c r="B41" s="74" t="s">
        <v>1819</v>
      </c>
      <c r="C41" s="98" t="s">
        <v>1820</v>
      </c>
      <c r="D41" s="74"/>
      <c r="E41" s="74"/>
      <c r="F41" s="152"/>
      <c r="G41" s="74"/>
      <c r="H41" s="74">
        <v>0</v>
      </c>
    </row>
    <row r="42" spans="1:8" x14ac:dyDescent="0.3">
      <c r="B42" s="74" t="s">
        <v>1821</v>
      </c>
      <c r="C42" s="98" t="s">
        <v>1822</v>
      </c>
      <c r="D42" s="74"/>
      <c r="E42" s="74"/>
      <c r="F42" s="152"/>
      <c r="G42" s="74"/>
      <c r="H42" s="74">
        <v>0</v>
      </c>
    </row>
    <row r="43" spans="1:8" x14ac:dyDescent="0.3">
      <c r="B43" s="74" t="s">
        <v>1823</v>
      </c>
      <c r="C43" s="98" t="s">
        <v>1824</v>
      </c>
      <c r="D43" s="74"/>
      <c r="E43" s="74"/>
      <c r="F43" s="152"/>
      <c r="G43" s="74"/>
      <c r="H43" s="74">
        <v>0</v>
      </c>
    </row>
    <row r="44" spans="1:8" x14ac:dyDescent="0.3">
      <c r="B44" s="74" t="s">
        <v>389</v>
      </c>
      <c r="C44" s="98" t="s">
        <v>1825</v>
      </c>
      <c r="D44" s="74" t="str">
        <f>'Practices and Requirements'!C380</f>
        <v>P-MET-EX-4-1</v>
      </c>
      <c r="E44" s="124" t="str">
        <f>'Practices and Requirements'!E380</f>
        <v>To be filled</v>
      </c>
      <c r="F44" s="152">
        <f>'Practices and Requirements'!M380</f>
        <v>0</v>
      </c>
      <c r="G44" s="74">
        <v>0</v>
      </c>
      <c r="H44" s="74">
        <v>0</v>
      </c>
    </row>
    <row r="45" spans="1:8" s="50" customFormat="1" ht="17.25" x14ac:dyDescent="0.3">
      <c r="A45" s="2"/>
      <c r="B45" s="269" t="s">
        <v>1826</v>
      </c>
      <c r="C45" s="269"/>
      <c r="D45" s="269"/>
      <c r="E45" s="269"/>
      <c r="F45" s="269"/>
      <c r="G45" s="74"/>
      <c r="H45" s="74"/>
    </row>
    <row r="46" spans="1:8" x14ac:dyDescent="0.3">
      <c r="B46" s="74" t="s">
        <v>1827</v>
      </c>
      <c r="C46" s="98" t="s">
        <v>1828</v>
      </c>
      <c r="D46" s="74" t="str">
        <f>'Practices and Requirements'!C289</f>
        <v>P-EDU-AWR-2-1</v>
      </c>
      <c r="E46" s="124" t="str">
        <f>'Practices and Requirements'!E289</f>
        <v>To be filled</v>
      </c>
      <c r="F46" s="152">
        <f>'Practices and Requirements'!M289</f>
        <v>0</v>
      </c>
      <c r="G46" s="74">
        <v>0</v>
      </c>
      <c r="H46" s="74">
        <v>0</v>
      </c>
    </row>
    <row r="47" spans="1:8" x14ac:dyDescent="0.3">
      <c r="B47" s="74" t="s">
        <v>1829</v>
      </c>
      <c r="C47" s="98" t="s">
        <v>1830</v>
      </c>
      <c r="D47" s="74"/>
      <c r="E47" s="74"/>
      <c r="F47" s="152"/>
      <c r="G47" s="74"/>
      <c r="H47" s="74">
        <v>0</v>
      </c>
    </row>
    <row r="48" spans="1:8" x14ac:dyDescent="0.3">
      <c r="B48" s="74" t="s">
        <v>1831</v>
      </c>
      <c r="C48" s="98" t="s">
        <v>1832</v>
      </c>
      <c r="D48" s="74" t="str">
        <f>'Practices and Requirements'!C391</f>
        <v>P-ROLE-SC-4-1</v>
      </c>
      <c r="E48" s="124" t="str">
        <f>'Practices and Requirements'!E391</f>
        <v>To be filled</v>
      </c>
      <c r="F48" s="152">
        <f>'Practices and Requirements'!M391</f>
        <v>0</v>
      </c>
      <c r="G48" s="74">
        <v>0</v>
      </c>
      <c r="H48" s="74">
        <v>0</v>
      </c>
    </row>
    <row r="49" spans="1:8" x14ac:dyDescent="0.3">
      <c r="B49" s="74" t="s">
        <v>1833</v>
      </c>
      <c r="C49" s="98" t="s">
        <v>1834</v>
      </c>
      <c r="D49" s="74" t="str">
        <f>'Practices and Requirements'!C291</f>
        <v>P-EDU-AWR-2-3</v>
      </c>
      <c r="E49" s="124" t="str">
        <f>'Practices and Requirements'!E291</f>
        <v>To be filled</v>
      </c>
      <c r="F49" s="152">
        <f>'Practices and Requirements'!M291</f>
        <v>0</v>
      </c>
      <c r="G49" s="74">
        <v>0</v>
      </c>
      <c r="H49" s="74">
        <v>0</v>
      </c>
    </row>
    <row r="50" spans="1:8" x14ac:dyDescent="0.3">
      <c r="B50" s="74" t="s">
        <v>1835</v>
      </c>
      <c r="C50" s="98" t="s">
        <v>1836</v>
      </c>
      <c r="D50" s="74"/>
      <c r="E50" s="74"/>
      <c r="F50" s="152"/>
      <c r="G50" s="74"/>
      <c r="H50" s="74">
        <v>0</v>
      </c>
    </row>
    <row r="51" spans="1:8" x14ac:dyDescent="0.3">
      <c r="B51" s="267" t="s">
        <v>1837</v>
      </c>
      <c r="C51" s="268" t="s">
        <v>1838</v>
      </c>
      <c r="D51" s="74" t="str">
        <f>'Practices and Requirements'!C289</f>
        <v>P-EDU-AWR-2-1</v>
      </c>
      <c r="E51" s="124" t="str">
        <f>'Practices and Requirements'!E289</f>
        <v>To be filled</v>
      </c>
      <c r="F51" s="152">
        <f>'Practices and Requirements'!M289</f>
        <v>0</v>
      </c>
      <c r="G51" s="267">
        <v>0</v>
      </c>
      <c r="H51" s="267">
        <v>0</v>
      </c>
    </row>
    <row r="52" spans="1:8" x14ac:dyDescent="0.3">
      <c r="B52" s="267"/>
      <c r="C52" s="268"/>
      <c r="D52" s="74" t="str">
        <f>'Practices and Requirements'!C291</f>
        <v>P-EDU-AWR-2-3</v>
      </c>
      <c r="E52" s="124" t="str">
        <f>'Practices and Requirements'!E291</f>
        <v>To be filled</v>
      </c>
      <c r="F52" s="152">
        <f>'Practices and Requirements'!M291</f>
        <v>0</v>
      </c>
      <c r="G52" s="267"/>
      <c r="H52" s="267"/>
    </row>
    <row r="53" spans="1:8" x14ac:dyDescent="0.3">
      <c r="B53" s="74" t="s">
        <v>1839</v>
      </c>
      <c r="C53" s="98" t="s">
        <v>1840</v>
      </c>
      <c r="D53" s="74"/>
      <c r="E53" s="74"/>
      <c r="F53" s="152"/>
      <c r="G53" s="74"/>
      <c r="H53" s="74">
        <v>0</v>
      </c>
    </row>
    <row r="54" spans="1:8" x14ac:dyDescent="0.3">
      <c r="B54" s="74" t="s">
        <v>1841</v>
      </c>
      <c r="C54" s="98" t="s">
        <v>1842</v>
      </c>
      <c r="D54" s="74"/>
      <c r="E54" s="74"/>
      <c r="F54" s="152"/>
      <c r="G54" s="74"/>
      <c r="H54" s="74">
        <v>0</v>
      </c>
    </row>
    <row r="55" spans="1:8" x14ac:dyDescent="0.3">
      <c r="B55" s="74" t="s">
        <v>665</v>
      </c>
      <c r="C55" s="98" t="s">
        <v>1843</v>
      </c>
      <c r="D55" s="74" t="str">
        <f>'Practices and Requirements'!C293</f>
        <v>P-EDU-AWR-3-1</v>
      </c>
      <c r="E55" s="124" t="str">
        <f>'Practices and Requirements'!E293</f>
        <v>To be filled</v>
      </c>
      <c r="F55" s="152">
        <f>'Practices and Requirements'!M293</f>
        <v>0</v>
      </c>
      <c r="G55" s="74">
        <v>0</v>
      </c>
      <c r="H55" s="74">
        <v>0</v>
      </c>
    </row>
    <row r="56" spans="1:8" x14ac:dyDescent="0.3">
      <c r="B56" s="74" t="s">
        <v>280</v>
      </c>
      <c r="C56" s="98" t="s">
        <v>1844</v>
      </c>
      <c r="D56" s="74" t="str">
        <f>'Practices and Requirements'!C294</f>
        <v>P-EDU-AWR-3-2</v>
      </c>
      <c r="E56" s="124" t="str">
        <f>'Practices and Requirements'!E294</f>
        <v>To be filled</v>
      </c>
      <c r="F56" s="152">
        <f>'Practices and Requirements'!M294</f>
        <v>0</v>
      </c>
      <c r="G56" s="74">
        <v>0</v>
      </c>
      <c r="H56" s="74">
        <v>0</v>
      </c>
    </row>
    <row r="57" spans="1:8" x14ac:dyDescent="0.3">
      <c r="B57" s="74" t="s">
        <v>1845</v>
      </c>
      <c r="C57" s="98" t="s">
        <v>1846</v>
      </c>
      <c r="D57" s="74"/>
      <c r="E57" s="74"/>
      <c r="F57" s="152"/>
      <c r="G57" s="74"/>
      <c r="H57" s="74">
        <v>0</v>
      </c>
    </row>
    <row r="58" spans="1:8" x14ac:dyDescent="0.3">
      <c r="B58" s="74" t="s">
        <v>1847</v>
      </c>
      <c r="C58" s="98" t="s">
        <v>1848</v>
      </c>
      <c r="D58" s="74"/>
      <c r="E58" s="74"/>
      <c r="F58" s="152"/>
      <c r="G58" s="74"/>
      <c r="H58" s="74">
        <v>0</v>
      </c>
    </row>
    <row r="59" spans="1:8" s="50" customFormat="1" ht="20.25" x14ac:dyDescent="0.3">
      <c r="A59" s="2"/>
      <c r="B59" s="277" t="s">
        <v>1849</v>
      </c>
      <c r="C59" s="277"/>
      <c r="D59" s="277"/>
      <c r="E59" s="277"/>
      <c r="F59" s="277"/>
      <c r="G59" s="74"/>
      <c r="H59" s="74"/>
    </row>
    <row r="60" spans="1:8" s="50" customFormat="1" ht="17.25" x14ac:dyDescent="0.3">
      <c r="A60" s="2"/>
      <c r="B60" s="269" t="s">
        <v>1850</v>
      </c>
      <c r="C60" s="269"/>
      <c r="D60" s="269"/>
      <c r="E60" s="269"/>
      <c r="F60" s="269"/>
      <c r="G60" s="74"/>
      <c r="H60" s="74"/>
    </row>
    <row r="61" spans="1:8" x14ac:dyDescent="0.3">
      <c r="B61" s="74" t="s">
        <v>1851</v>
      </c>
      <c r="C61" s="98" t="s">
        <v>1852</v>
      </c>
      <c r="D61" s="74"/>
      <c r="E61" s="74"/>
      <c r="F61" s="152"/>
      <c r="G61" s="74"/>
      <c r="H61" s="74">
        <v>0</v>
      </c>
    </row>
    <row r="62" spans="1:8" x14ac:dyDescent="0.3">
      <c r="B62" s="74" t="s">
        <v>1853</v>
      </c>
      <c r="C62" s="98" t="s">
        <v>1854</v>
      </c>
      <c r="D62" s="74" t="str">
        <f>'Practices and Requirements'!C315</f>
        <v>P-REQ-TM-3-2</v>
      </c>
      <c r="E62" s="124" t="str">
        <f>'Practices and Requirements'!E315</f>
        <v>To be filled</v>
      </c>
      <c r="F62" s="152">
        <f>'Practices and Requirements'!M315</f>
        <v>0</v>
      </c>
      <c r="G62" s="74">
        <v>0</v>
      </c>
      <c r="H62" s="74">
        <v>0</v>
      </c>
    </row>
    <row r="63" spans="1:8" x14ac:dyDescent="0.3">
      <c r="B63" s="74" t="s">
        <v>1855</v>
      </c>
      <c r="C63" s="98" t="s">
        <v>1856</v>
      </c>
      <c r="D63" s="74"/>
      <c r="E63" s="74"/>
      <c r="F63" s="152"/>
      <c r="G63" s="74"/>
      <c r="H63" s="74">
        <v>0</v>
      </c>
    </row>
    <row r="64" spans="1:8" x14ac:dyDescent="0.3">
      <c r="B64" s="74" t="s">
        <v>669</v>
      </c>
      <c r="C64" s="98" t="s">
        <v>1857</v>
      </c>
      <c r="D64" s="74" t="str">
        <f>'Practices and Requirements'!C317</f>
        <v>P-REQ-TM-4-1</v>
      </c>
      <c r="E64" s="124" t="str">
        <f>'Practices and Requirements'!E317</f>
        <v>To be filled</v>
      </c>
      <c r="F64" s="152">
        <f>'Practices and Requirements'!M317</f>
        <v>0</v>
      </c>
      <c r="G64" s="74">
        <v>0</v>
      </c>
      <c r="H64" s="74">
        <v>0</v>
      </c>
    </row>
    <row r="65" spans="1:8" x14ac:dyDescent="0.3">
      <c r="B65" s="74" t="s">
        <v>1858</v>
      </c>
      <c r="C65" s="98" t="s">
        <v>1859</v>
      </c>
      <c r="D65" s="74"/>
      <c r="E65" s="74"/>
      <c r="F65" s="152"/>
      <c r="G65" s="74"/>
      <c r="H65" s="74">
        <v>0</v>
      </c>
    </row>
    <row r="66" spans="1:8" x14ac:dyDescent="0.3">
      <c r="B66" s="74" t="s">
        <v>1860</v>
      </c>
      <c r="C66" s="98" t="s">
        <v>1861</v>
      </c>
      <c r="D66" s="74"/>
      <c r="E66" s="74"/>
      <c r="F66" s="152"/>
      <c r="G66" s="74"/>
      <c r="H66" s="74">
        <v>0</v>
      </c>
    </row>
    <row r="67" spans="1:8" x14ac:dyDescent="0.3">
      <c r="B67" s="74" t="s">
        <v>1862</v>
      </c>
      <c r="C67" s="98" t="s">
        <v>1863</v>
      </c>
      <c r="D67" s="74"/>
      <c r="E67" s="74"/>
      <c r="F67" s="152"/>
      <c r="G67" s="74"/>
      <c r="H67" s="74">
        <v>0</v>
      </c>
    </row>
    <row r="68" spans="1:8" x14ac:dyDescent="0.3">
      <c r="B68" s="267" t="s">
        <v>1864</v>
      </c>
      <c r="C68" s="268" t="s">
        <v>1865</v>
      </c>
      <c r="D68" s="74" t="str">
        <f>'Practices and Requirements'!C202</f>
        <v>T-PREPROD-VULN-2-2</v>
      </c>
      <c r="E68" s="124" t="str">
        <f>'Practices and Requirements'!E202</f>
        <v>To be filled</v>
      </c>
      <c r="F68" s="152">
        <f>'Practices and Requirements'!M202</f>
        <v>0</v>
      </c>
      <c r="G68" s="267">
        <v>0</v>
      </c>
      <c r="H68" s="267">
        <v>0</v>
      </c>
    </row>
    <row r="69" spans="1:8" x14ac:dyDescent="0.3">
      <c r="B69" s="267"/>
      <c r="C69" s="268"/>
      <c r="D69" s="74" t="str">
        <f>'Practices and Requirements'!C273</f>
        <v>T-PROD-VULN-2-2</v>
      </c>
      <c r="E69" s="124" t="str">
        <f>'Practices and Requirements'!E273</f>
        <v>To be filled</v>
      </c>
      <c r="F69" s="152">
        <f>'Practices and Requirements'!M273</f>
        <v>0</v>
      </c>
      <c r="G69" s="267"/>
      <c r="H69" s="267"/>
    </row>
    <row r="70" spans="1:8" x14ac:dyDescent="0.3">
      <c r="B70" s="74" t="s">
        <v>1866</v>
      </c>
      <c r="C70" s="98" t="s">
        <v>1867</v>
      </c>
      <c r="D70" s="74"/>
      <c r="E70" s="74"/>
      <c r="F70" s="152"/>
      <c r="G70" s="74"/>
      <c r="H70" s="74">
        <v>0</v>
      </c>
    </row>
    <row r="71" spans="1:8" x14ac:dyDescent="0.3">
      <c r="B71" s="74" t="s">
        <v>1868</v>
      </c>
      <c r="C71" s="98" t="s">
        <v>1869</v>
      </c>
      <c r="D71" s="74"/>
      <c r="E71" s="74"/>
      <c r="F71" s="152"/>
      <c r="G71" s="74"/>
      <c r="H71" s="74">
        <v>0</v>
      </c>
    </row>
    <row r="72" spans="1:8" x14ac:dyDescent="0.3">
      <c r="B72" s="74" t="s">
        <v>1870</v>
      </c>
      <c r="C72" s="98" t="s">
        <v>1871</v>
      </c>
      <c r="D72" s="74"/>
      <c r="E72" s="74"/>
      <c r="F72" s="152"/>
      <c r="G72" s="74"/>
      <c r="H72" s="74">
        <v>0</v>
      </c>
    </row>
    <row r="73" spans="1:8" s="50" customFormat="1" ht="17.25" x14ac:dyDescent="0.3">
      <c r="A73" s="2"/>
      <c r="B73" s="269" t="s">
        <v>1872</v>
      </c>
      <c r="C73" s="269"/>
      <c r="D73" s="269"/>
      <c r="E73" s="269"/>
      <c r="F73" s="269"/>
      <c r="G73" s="74"/>
      <c r="H73" s="74"/>
    </row>
    <row r="74" spans="1:8" x14ac:dyDescent="0.3">
      <c r="B74" s="74" t="s">
        <v>1873</v>
      </c>
      <c r="C74" s="98" t="s">
        <v>1874</v>
      </c>
      <c r="D74" s="74"/>
      <c r="E74" s="74"/>
      <c r="F74" s="152"/>
      <c r="G74" s="74"/>
      <c r="H74" s="74">
        <v>0</v>
      </c>
    </row>
    <row r="75" spans="1:8" x14ac:dyDescent="0.3">
      <c r="B75" s="74" t="s">
        <v>670</v>
      </c>
      <c r="C75" s="98" t="s">
        <v>1875</v>
      </c>
      <c r="D75" s="74" t="str">
        <f>'Practices and Requirements'!C323</f>
        <v>P-REQ-RD-2-3</v>
      </c>
      <c r="E75" s="124" t="str">
        <f>'Practices and Requirements'!E323</f>
        <v>To be filled</v>
      </c>
      <c r="F75" s="152">
        <f>'Practices and Requirements'!M323</f>
        <v>0</v>
      </c>
      <c r="G75" s="74">
        <v>0</v>
      </c>
      <c r="H75" s="74">
        <v>0</v>
      </c>
    </row>
    <row r="76" spans="1:8" x14ac:dyDescent="0.3">
      <c r="B76" s="74" t="s">
        <v>1876</v>
      </c>
      <c r="C76" s="98" t="s">
        <v>1877</v>
      </c>
      <c r="D76" s="74"/>
      <c r="E76" s="74"/>
      <c r="F76" s="152"/>
      <c r="G76" s="74"/>
      <c r="H76" s="74">
        <v>0</v>
      </c>
    </row>
    <row r="77" spans="1:8" x14ac:dyDescent="0.3">
      <c r="B77" s="74" t="s">
        <v>1878</v>
      </c>
      <c r="C77" s="98" t="s">
        <v>1879</v>
      </c>
      <c r="D77" s="74"/>
      <c r="E77" s="74"/>
      <c r="F77" s="152"/>
      <c r="G77" s="74"/>
      <c r="H77" s="74">
        <v>0</v>
      </c>
    </row>
    <row r="78" spans="1:8" x14ac:dyDescent="0.3">
      <c r="B78" s="74" t="s">
        <v>1880</v>
      </c>
      <c r="C78" s="98" t="s">
        <v>1881</v>
      </c>
      <c r="D78" s="74"/>
      <c r="E78" s="74"/>
      <c r="F78" s="152"/>
      <c r="G78" s="74"/>
      <c r="H78" s="74">
        <v>0</v>
      </c>
    </row>
    <row r="79" spans="1:8" x14ac:dyDescent="0.3">
      <c r="B79" s="74" t="s">
        <v>1882</v>
      </c>
      <c r="C79" s="98" t="s">
        <v>1883</v>
      </c>
      <c r="D79" s="74"/>
      <c r="E79" s="74"/>
      <c r="F79" s="152"/>
      <c r="G79" s="74"/>
      <c r="H79" s="74">
        <v>0</v>
      </c>
    </row>
    <row r="80" spans="1:8" x14ac:dyDescent="0.3">
      <c r="B80" s="74" t="s">
        <v>1884</v>
      </c>
      <c r="C80" s="98" t="s">
        <v>1885</v>
      </c>
      <c r="D80" s="74"/>
      <c r="E80" s="74"/>
      <c r="F80" s="152"/>
      <c r="G80" s="74"/>
      <c r="H80" s="74">
        <v>0</v>
      </c>
    </row>
    <row r="81" spans="1:13" s="50" customFormat="1" ht="17.25" x14ac:dyDescent="0.3">
      <c r="A81" s="2"/>
      <c r="B81" s="269" t="s">
        <v>1886</v>
      </c>
      <c r="C81" s="269"/>
      <c r="D81" s="269"/>
      <c r="E81" s="269"/>
      <c r="F81" s="269"/>
      <c r="G81" s="74"/>
      <c r="H81" s="74"/>
    </row>
    <row r="82" spans="1:13" x14ac:dyDescent="0.3">
      <c r="B82" s="267" t="s">
        <v>1887</v>
      </c>
      <c r="C82" s="268" t="s">
        <v>1888</v>
      </c>
      <c r="D82" s="74" t="str">
        <f>'Practices and Requirements'!C298</f>
        <v>P-EDU-KB-2-1</v>
      </c>
      <c r="E82" s="124" t="str">
        <f>'Practices and Requirements'!E298</f>
        <v>To be filled</v>
      </c>
      <c r="F82" s="152">
        <f>'Practices and Requirements'!M298</f>
        <v>0</v>
      </c>
      <c r="G82" s="267">
        <v>0</v>
      </c>
      <c r="H82" s="267">
        <v>0</v>
      </c>
    </row>
    <row r="83" spans="1:13" x14ac:dyDescent="0.3">
      <c r="B83" s="267"/>
      <c r="C83" s="268"/>
      <c r="D83" s="74" t="str">
        <f>'Practices and Requirements'!C299</f>
        <v>P-EDU-KB-2-3</v>
      </c>
      <c r="E83" s="124" t="str">
        <f>'Practices and Requirements'!E299</f>
        <v>To be filled</v>
      </c>
      <c r="F83" s="152">
        <f>'Practices and Requirements'!M299</f>
        <v>0</v>
      </c>
      <c r="G83" s="267"/>
      <c r="H83" s="267"/>
    </row>
    <row r="84" spans="1:13" x14ac:dyDescent="0.3">
      <c r="B84" s="267" t="s">
        <v>1889</v>
      </c>
      <c r="C84" s="268" t="s">
        <v>1890</v>
      </c>
      <c r="D84" s="74" t="str">
        <f>'Practices and Requirements'!C298</f>
        <v>P-EDU-KB-2-1</v>
      </c>
      <c r="E84" s="124" t="str">
        <f>'Practices and Requirements'!E298</f>
        <v>To be filled</v>
      </c>
      <c r="F84" s="152">
        <f>'Practices and Requirements'!M298</f>
        <v>0</v>
      </c>
      <c r="G84" s="267">
        <v>0</v>
      </c>
      <c r="H84" s="267">
        <v>0</v>
      </c>
    </row>
    <row r="85" spans="1:13" x14ac:dyDescent="0.3">
      <c r="B85" s="267"/>
      <c r="C85" s="268"/>
      <c r="D85" s="74" t="str">
        <f>'Practices and Requirements'!C299</f>
        <v>P-EDU-KB-2-3</v>
      </c>
      <c r="E85" s="124" t="str">
        <f>'Practices and Requirements'!E299</f>
        <v>To be filled</v>
      </c>
      <c r="F85" s="152">
        <f>'Practices and Requirements'!M299</f>
        <v>0</v>
      </c>
      <c r="G85" s="267"/>
      <c r="H85" s="267"/>
    </row>
    <row r="86" spans="1:13" x14ac:dyDescent="0.3">
      <c r="B86" s="267"/>
      <c r="C86" s="268"/>
      <c r="D86" s="74" t="str">
        <f>'Practices and Requirements'!C300</f>
        <v>P-EDU-KB-3-1</v>
      </c>
      <c r="E86" s="124" t="str">
        <f>'Practices and Requirements'!E300</f>
        <v>To be filled</v>
      </c>
      <c r="F86" s="152">
        <f>'Practices and Requirements'!M300</f>
        <v>0</v>
      </c>
      <c r="G86" s="267"/>
      <c r="H86" s="267"/>
    </row>
    <row r="87" spans="1:13" x14ac:dyDescent="0.3">
      <c r="B87" s="267"/>
      <c r="C87" s="268"/>
      <c r="D87" s="74" t="str">
        <f>'Practices and Requirements'!C301</f>
        <v>P-EDU-KB-3-2</v>
      </c>
      <c r="E87" s="124" t="str">
        <f>'Practices and Requirements'!E301</f>
        <v>To be filled</v>
      </c>
      <c r="F87" s="152">
        <f>'Practices and Requirements'!M301</f>
        <v>0</v>
      </c>
      <c r="G87" s="267"/>
      <c r="H87" s="267"/>
    </row>
    <row r="88" spans="1:13" x14ac:dyDescent="0.3">
      <c r="B88" s="267" t="s">
        <v>654</v>
      </c>
      <c r="C88" s="268" t="s">
        <v>1891</v>
      </c>
      <c r="D88" s="74" t="str">
        <f>'Practices and Requirements'!C12</f>
        <v>T-ADI-DEP-3-1</v>
      </c>
      <c r="E88" s="124" t="str">
        <f>'Practices and Requirements'!E12</f>
        <v>To be filled</v>
      </c>
      <c r="F88" s="152">
        <f>'Practices and Requirements'!M12</f>
        <v>0</v>
      </c>
      <c r="G88" s="267">
        <v>0</v>
      </c>
      <c r="H88" s="267">
        <v>0</v>
      </c>
      <c r="I88" s="50"/>
      <c r="J88" s="99"/>
      <c r="K88" s="69"/>
      <c r="L88" s="69"/>
      <c r="M88" s="69"/>
    </row>
    <row r="89" spans="1:13" x14ac:dyDescent="0.3">
      <c r="B89" s="267"/>
      <c r="C89" s="268"/>
      <c r="D89" s="74" t="str">
        <f>'Practices and Requirements'!C25</f>
        <v>T-ADI-ART-3-1</v>
      </c>
      <c r="E89" s="124" t="str">
        <f>'Practices and Requirements'!E25</f>
        <v>To be filled</v>
      </c>
      <c r="F89" s="152">
        <f>'Practices and Requirements'!M25</f>
        <v>0</v>
      </c>
      <c r="G89" s="267"/>
      <c r="H89" s="267"/>
      <c r="I89" s="50"/>
      <c r="J89" s="99"/>
      <c r="K89" s="69"/>
      <c r="L89" s="69"/>
      <c r="M89" s="69"/>
    </row>
    <row r="90" spans="1:13" x14ac:dyDescent="0.3">
      <c r="B90" s="267"/>
      <c r="C90" s="268"/>
      <c r="D90" s="74" t="str">
        <f>'Practices and Requirements'!C134</f>
        <v>T-CODE-SC-1-3</v>
      </c>
      <c r="E90" s="124" t="str">
        <f>'Practices and Requirements'!E134</f>
        <v>To be filled</v>
      </c>
      <c r="F90" s="152">
        <f>'Practices and Requirements'!M134</f>
        <v>0</v>
      </c>
      <c r="G90" s="267"/>
      <c r="H90" s="267"/>
      <c r="I90" s="50"/>
      <c r="J90" s="99"/>
      <c r="K90" s="69"/>
      <c r="L90" s="69"/>
      <c r="M90" s="69"/>
    </row>
    <row r="91" spans="1:13" x14ac:dyDescent="0.3">
      <c r="B91" s="74" t="s">
        <v>1892</v>
      </c>
      <c r="C91" s="98" t="s">
        <v>1893</v>
      </c>
      <c r="D91" s="74"/>
      <c r="E91" s="74"/>
      <c r="F91" s="152"/>
      <c r="G91" s="74"/>
      <c r="H91" s="74">
        <v>0</v>
      </c>
    </row>
    <row r="92" spans="1:13" x14ac:dyDescent="0.3">
      <c r="B92" s="74" t="s">
        <v>1894</v>
      </c>
      <c r="C92" s="98" t="s">
        <v>1895</v>
      </c>
      <c r="D92" s="74" t="str">
        <f>'Practices and Requirements'!C301</f>
        <v>P-EDU-KB-3-2</v>
      </c>
      <c r="E92" s="124" t="str">
        <f>'Practices and Requirements'!E301</f>
        <v>To be filled</v>
      </c>
      <c r="F92" s="152">
        <f>'Practices and Requirements'!M301</f>
        <v>0</v>
      </c>
      <c r="G92" s="74">
        <v>0</v>
      </c>
      <c r="H92" s="74">
        <v>0</v>
      </c>
    </row>
    <row r="93" spans="1:13" x14ac:dyDescent="0.3">
      <c r="B93" s="74" t="s">
        <v>1896</v>
      </c>
      <c r="C93" s="98" t="s">
        <v>1897</v>
      </c>
      <c r="D93" s="74"/>
      <c r="E93" s="74"/>
      <c r="F93" s="152"/>
      <c r="G93" s="74"/>
      <c r="H93" s="74">
        <v>0</v>
      </c>
    </row>
    <row r="94" spans="1:13" x14ac:dyDescent="0.3">
      <c r="B94" s="267" t="s">
        <v>7</v>
      </c>
      <c r="C94" s="268" t="s">
        <v>1898</v>
      </c>
      <c r="D94" s="74" t="str">
        <f>'Practices and Requirements'!C7</f>
        <v>T-ADI-DEP-1-3</v>
      </c>
      <c r="E94" s="124" t="str">
        <f>'Practices and Requirements'!E7</f>
        <v>To be filled</v>
      </c>
      <c r="F94" s="152">
        <f>'Practices and Requirements'!M7</f>
        <v>0</v>
      </c>
      <c r="G94" s="267">
        <v>0</v>
      </c>
      <c r="H94" s="267">
        <v>0</v>
      </c>
    </row>
    <row r="95" spans="1:13" x14ac:dyDescent="0.3">
      <c r="B95" s="267"/>
      <c r="C95" s="268"/>
      <c r="D95" s="74" t="str">
        <f>'Practices and Requirements'!C10</f>
        <v>T-ADI-DEP-2-1</v>
      </c>
      <c r="E95" s="124" t="str">
        <f>'Practices and Requirements'!E10</f>
        <v>To be filled</v>
      </c>
      <c r="F95" s="152">
        <f>'Practices and Requirements'!M10</f>
        <v>0</v>
      </c>
      <c r="G95" s="267"/>
      <c r="H95" s="267"/>
    </row>
    <row r="96" spans="1:13" x14ac:dyDescent="0.3">
      <c r="B96" s="267"/>
      <c r="C96" s="268"/>
      <c r="D96" s="74" t="str">
        <f>'Practices and Requirements'!C139</f>
        <v>T-CODE-SC-2-5</v>
      </c>
      <c r="E96" s="124" t="str">
        <f>'Practices and Requirements'!E139</f>
        <v>To be filled</v>
      </c>
      <c r="F96" s="152">
        <f>'Practices and Requirements'!M139</f>
        <v>0</v>
      </c>
      <c r="G96" s="267"/>
      <c r="H96" s="267"/>
    </row>
    <row r="97" spans="1:8" x14ac:dyDescent="0.3">
      <c r="B97" s="74" t="s">
        <v>1899</v>
      </c>
      <c r="C97" s="98" t="s">
        <v>1900</v>
      </c>
      <c r="D97" s="74"/>
      <c r="E97" s="74"/>
      <c r="F97" s="152"/>
      <c r="G97" s="74"/>
      <c r="H97" s="74">
        <v>0</v>
      </c>
    </row>
    <row r="98" spans="1:8" x14ac:dyDescent="0.3">
      <c r="B98" s="74" t="s">
        <v>1901</v>
      </c>
      <c r="C98" s="98" t="s">
        <v>1902</v>
      </c>
      <c r="D98" s="74" t="str">
        <f>'Practices and Requirements'!C300</f>
        <v>P-EDU-KB-3-1</v>
      </c>
      <c r="E98" s="124" t="str">
        <f>'Practices and Requirements'!E300</f>
        <v>To be filled</v>
      </c>
      <c r="F98" s="152">
        <f>'Practices and Requirements'!M299</f>
        <v>0</v>
      </c>
      <c r="G98" s="74">
        <v>0</v>
      </c>
      <c r="H98" s="74">
        <v>0</v>
      </c>
    </row>
    <row r="99" spans="1:8" x14ac:dyDescent="0.3">
      <c r="B99" s="267" t="s">
        <v>329</v>
      </c>
      <c r="C99" s="268" t="s">
        <v>1903</v>
      </c>
      <c r="D99" s="74" t="str">
        <f>'Practices and Requirements'!C343</f>
        <v>P-REQ-STDR-Infr-2-1</v>
      </c>
      <c r="E99" s="124" t="str">
        <f>'Practices and Requirements'!E343</f>
        <v>To be filled</v>
      </c>
      <c r="F99" s="152">
        <f>'Practices and Requirements'!M343</f>
        <v>0</v>
      </c>
      <c r="G99" s="267">
        <v>0</v>
      </c>
      <c r="H99" s="267">
        <v>0</v>
      </c>
    </row>
    <row r="100" spans="1:8" x14ac:dyDescent="0.3">
      <c r="B100" s="267"/>
      <c r="C100" s="268"/>
      <c r="D100" s="74" t="str">
        <f>'Practices and Requirements'!C345</f>
        <v>P-REQ-STDR-Infr-3-1</v>
      </c>
      <c r="E100" s="124" t="str">
        <f>'Practices and Requirements'!E345</f>
        <v>To be filled</v>
      </c>
      <c r="F100" s="152">
        <f>'Practices and Requirements'!M345</f>
        <v>0</v>
      </c>
      <c r="G100" s="267"/>
      <c r="H100" s="267"/>
    </row>
    <row r="101" spans="1:8" s="50" customFormat="1" ht="20.25" x14ac:dyDescent="0.3">
      <c r="A101" s="2"/>
      <c r="B101" s="278" t="s">
        <v>1904</v>
      </c>
      <c r="C101" s="278"/>
      <c r="D101" s="278"/>
      <c r="E101" s="278"/>
      <c r="F101" s="278"/>
      <c r="G101" s="74"/>
      <c r="H101" s="74"/>
    </row>
    <row r="102" spans="1:8" s="50" customFormat="1" ht="17.25" x14ac:dyDescent="0.3">
      <c r="A102" s="2"/>
      <c r="B102" s="269" t="s">
        <v>1905</v>
      </c>
      <c r="C102" s="269"/>
      <c r="D102" s="269"/>
      <c r="E102" s="269"/>
      <c r="F102" s="269"/>
      <c r="G102" s="74"/>
      <c r="H102" s="74"/>
    </row>
    <row r="103" spans="1:8" x14ac:dyDescent="0.3">
      <c r="B103" s="74" t="s">
        <v>668</v>
      </c>
      <c r="C103" s="98" t="s">
        <v>1906</v>
      </c>
      <c r="D103" s="74" t="str">
        <f>'Practices and Requirements'!C312</f>
        <v>P-REQ-TM-2-2</v>
      </c>
      <c r="E103" s="124" t="str">
        <f>'Practices and Requirements'!E312</f>
        <v>To be filled</v>
      </c>
      <c r="F103" s="152">
        <f>'Practices and Requirements'!M312</f>
        <v>0</v>
      </c>
      <c r="G103" s="74">
        <v>0</v>
      </c>
      <c r="H103" s="74">
        <v>0</v>
      </c>
    </row>
    <row r="104" spans="1:8" x14ac:dyDescent="0.3">
      <c r="B104" s="74" t="s">
        <v>1907</v>
      </c>
      <c r="C104" s="98" t="s">
        <v>1908</v>
      </c>
      <c r="D104" s="74"/>
      <c r="E104" s="74"/>
      <c r="F104" s="152"/>
      <c r="G104" s="74"/>
      <c r="H104" s="74">
        <v>0</v>
      </c>
    </row>
    <row r="105" spans="1:8" x14ac:dyDescent="0.3">
      <c r="B105" s="267" t="s">
        <v>667</v>
      </c>
      <c r="C105" s="268" t="s">
        <v>1909</v>
      </c>
      <c r="D105" s="74" t="str">
        <f>'Practices and Requirements'!C309</f>
        <v>P-REQ-TM-1-2</v>
      </c>
      <c r="E105" s="124" t="str">
        <f>'Practices and Requirements'!E309</f>
        <v>To be filled</v>
      </c>
      <c r="F105" s="152">
        <f>'Practices and Requirements'!M309</f>
        <v>0</v>
      </c>
      <c r="G105" s="267">
        <v>0</v>
      </c>
      <c r="H105" s="267">
        <v>0</v>
      </c>
    </row>
    <row r="106" spans="1:8" x14ac:dyDescent="0.3">
      <c r="B106" s="267"/>
      <c r="C106" s="268"/>
      <c r="D106" s="74" t="str">
        <f>'Practices and Requirements'!C310</f>
        <v>P-REQ-TM-1-3</v>
      </c>
      <c r="E106" s="124" t="str">
        <f>'Practices and Requirements'!E310</f>
        <v>To be filled</v>
      </c>
      <c r="F106" s="152">
        <f>'Practices and Requirements'!M310</f>
        <v>0</v>
      </c>
      <c r="G106" s="267"/>
      <c r="H106" s="267"/>
    </row>
    <row r="107" spans="1:8" x14ac:dyDescent="0.3">
      <c r="B107" s="267"/>
      <c r="C107" s="268"/>
      <c r="D107" s="74" t="str">
        <f>'Practices and Requirements'!C313</f>
        <v>P-REQ-TM-2-3</v>
      </c>
      <c r="E107" s="124" t="str">
        <f>'Practices and Requirements'!E313</f>
        <v>To be filled</v>
      </c>
      <c r="F107" s="152">
        <f>'Practices and Requirements'!M313</f>
        <v>0</v>
      </c>
      <c r="G107" s="267"/>
      <c r="H107" s="267"/>
    </row>
    <row r="108" spans="1:8" x14ac:dyDescent="0.3">
      <c r="B108" s="74" t="s">
        <v>1910</v>
      </c>
      <c r="C108" s="98" t="s">
        <v>1911</v>
      </c>
      <c r="D108" s="74" t="str">
        <f>'Practices and Requirements'!C315</f>
        <v>P-REQ-TM-3-2</v>
      </c>
      <c r="E108" s="124" t="str">
        <f>'Practices and Requirements'!E315</f>
        <v>To be filled</v>
      </c>
      <c r="F108" s="152">
        <f>'Practices and Requirements'!M315</f>
        <v>0</v>
      </c>
      <c r="G108" s="74">
        <v>0</v>
      </c>
      <c r="H108" s="74">
        <v>0</v>
      </c>
    </row>
    <row r="109" spans="1:8" x14ac:dyDescent="0.3">
      <c r="B109" s="74" t="s">
        <v>1912</v>
      </c>
      <c r="C109" s="98" t="s">
        <v>1913</v>
      </c>
      <c r="D109" s="74" t="str">
        <f>'Practices and Requirements'!C315</f>
        <v>P-REQ-TM-3-2</v>
      </c>
      <c r="E109" s="124" t="str">
        <f>'Practices and Requirements'!E315</f>
        <v>To be filled</v>
      </c>
      <c r="F109" s="152">
        <f>'Practices and Requirements'!M315</f>
        <v>0</v>
      </c>
      <c r="G109" s="74">
        <v>0</v>
      </c>
      <c r="H109" s="74">
        <v>0</v>
      </c>
    </row>
    <row r="110" spans="1:8" x14ac:dyDescent="0.3">
      <c r="B110" s="74" t="s">
        <v>1914</v>
      </c>
      <c r="C110" s="98" t="s">
        <v>1915</v>
      </c>
      <c r="D110" s="74"/>
      <c r="E110" s="74"/>
      <c r="F110" s="152"/>
      <c r="G110" s="74"/>
      <c r="H110" s="74">
        <v>0</v>
      </c>
    </row>
    <row r="111" spans="1:8" x14ac:dyDescent="0.3">
      <c r="B111" s="74" t="s">
        <v>1916</v>
      </c>
      <c r="C111" s="98" t="s">
        <v>1917</v>
      </c>
      <c r="D111" s="74"/>
      <c r="E111" s="74"/>
      <c r="F111" s="152"/>
      <c r="G111" s="74"/>
      <c r="H111" s="74">
        <v>0</v>
      </c>
    </row>
    <row r="112" spans="1:8" x14ac:dyDescent="0.3">
      <c r="B112" s="74" t="s">
        <v>1918</v>
      </c>
      <c r="C112" s="98" t="s">
        <v>1919</v>
      </c>
      <c r="D112" s="74"/>
      <c r="E112" s="74"/>
      <c r="F112" s="152"/>
      <c r="G112" s="74"/>
      <c r="H112" s="74">
        <v>0</v>
      </c>
    </row>
    <row r="113" spans="1:8" x14ac:dyDescent="0.3">
      <c r="B113" s="74" t="s">
        <v>1920</v>
      </c>
      <c r="C113" s="98" t="s">
        <v>1921</v>
      </c>
      <c r="D113" s="74"/>
      <c r="E113" s="74"/>
      <c r="F113" s="152"/>
      <c r="G113" s="74"/>
      <c r="H113" s="74">
        <v>0</v>
      </c>
    </row>
    <row r="114" spans="1:8" s="50" customFormat="1" ht="17.25" x14ac:dyDescent="0.3">
      <c r="A114" s="2"/>
      <c r="B114" s="269" t="s">
        <v>1922</v>
      </c>
      <c r="C114" s="269"/>
      <c r="D114" s="269"/>
      <c r="E114" s="269"/>
      <c r="F114" s="269"/>
      <c r="G114" s="74"/>
      <c r="H114" s="74"/>
    </row>
    <row r="115" spans="1:8" x14ac:dyDescent="0.3">
      <c r="B115" s="74" t="s">
        <v>390</v>
      </c>
      <c r="C115" s="98" t="s">
        <v>1923</v>
      </c>
      <c r="D115" s="74" t="str">
        <f>'Practices and Requirements'!C121</f>
        <v>T-CODE-SST-1-1</v>
      </c>
      <c r="E115" s="124" t="str">
        <f>'Practices and Requirements'!E121</f>
        <v>To be filled</v>
      </c>
      <c r="F115" s="152">
        <f>'Practices and Requirements'!M121</f>
        <v>0</v>
      </c>
      <c r="G115" s="74">
        <v>0</v>
      </c>
      <c r="H115" s="74">
        <v>0</v>
      </c>
    </row>
    <row r="116" spans="1:8" x14ac:dyDescent="0.3">
      <c r="B116" s="267" t="s">
        <v>1924</v>
      </c>
      <c r="C116" s="268" t="s">
        <v>1925</v>
      </c>
      <c r="D116" s="74" t="str">
        <f>'Practices and Requirements'!C125</f>
        <v>T-CODE-SST-2-3</v>
      </c>
      <c r="E116" s="124" t="str">
        <f>'Practices and Requirements'!E125</f>
        <v>To be filled</v>
      </c>
      <c r="F116" s="152">
        <f>'Practices and Requirements'!M125</f>
        <v>0</v>
      </c>
      <c r="G116" s="267">
        <v>0</v>
      </c>
      <c r="H116" s="267">
        <v>0</v>
      </c>
    </row>
    <row r="117" spans="1:8" x14ac:dyDescent="0.3">
      <c r="B117" s="267"/>
      <c r="C117" s="268"/>
      <c r="D117" s="74" t="str">
        <f>'Practices and Requirements'!C138</f>
        <v>T-CODE-SC-2-4</v>
      </c>
      <c r="E117" s="124" t="str">
        <f>'Practices and Requirements'!E138</f>
        <v>To be filled</v>
      </c>
      <c r="F117" s="152">
        <f>'Practices and Requirements'!M138</f>
        <v>0</v>
      </c>
      <c r="G117" s="267"/>
      <c r="H117" s="267"/>
    </row>
    <row r="118" spans="1:8" x14ac:dyDescent="0.3">
      <c r="B118" s="267" t="s">
        <v>1926</v>
      </c>
      <c r="C118" s="268" t="s">
        <v>1927</v>
      </c>
      <c r="D118" s="74" t="str">
        <f>'Practices and Requirements'!C125</f>
        <v>T-CODE-SST-2-3</v>
      </c>
      <c r="E118" s="124" t="str">
        <f>'Practices and Requirements'!E125</f>
        <v>To be filled</v>
      </c>
      <c r="F118" s="152">
        <f>'Practices and Requirements'!M125</f>
        <v>0</v>
      </c>
      <c r="G118" s="267">
        <v>0</v>
      </c>
      <c r="H118" s="267">
        <v>0</v>
      </c>
    </row>
    <row r="119" spans="1:8" x14ac:dyDescent="0.3">
      <c r="B119" s="267"/>
      <c r="C119" s="268"/>
      <c r="D119" s="74" t="str">
        <f>'Practices and Requirements'!C138</f>
        <v>T-CODE-SC-2-4</v>
      </c>
      <c r="E119" s="124" t="str">
        <f>'Practices and Requirements'!E138</f>
        <v>To be filled</v>
      </c>
      <c r="F119" s="152">
        <f>'Practices and Requirements'!M138</f>
        <v>0</v>
      </c>
      <c r="G119" s="267"/>
      <c r="H119" s="267"/>
    </row>
    <row r="120" spans="1:8" x14ac:dyDescent="0.3">
      <c r="B120" s="74" t="s">
        <v>374</v>
      </c>
      <c r="C120" s="98" t="s">
        <v>1928</v>
      </c>
      <c r="D120" s="74" t="str">
        <f>'Practices and Requirements'!C388</f>
        <v>P-ROLE-SC-3-2</v>
      </c>
      <c r="E120" s="124" t="str">
        <f>'Practices and Requirements'!E388</f>
        <v>To be filled</v>
      </c>
      <c r="F120" s="152">
        <f>'Practices and Requirements'!M388</f>
        <v>0</v>
      </c>
      <c r="G120" s="74">
        <v>0</v>
      </c>
      <c r="H120" s="74">
        <v>0</v>
      </c>
    </row>
    <row r="121" spans="1:8" x14ac:dyDescent="0.3">
      <c r="B121" s="267" t="s">
        <v>113</v>
      </c>
      <c r="C121" s="268" t="s">
        <v>1929</v>
      </c>
      <c r="D121" s="74" t="str">
        <f>'Practices and Requirements'!C128</f>
        <v>T-CODE-SST-3-2</v>
      </c>
      <c r="E121" s="124" t="str">
        <f>'Practices and Requirements'!E128</f>
        <v>To be filled</v>
      </c>
      <c r="F121" s="152">
        <f>'Practices and Requirements'!M128</f>
        <v>0</v>
      </c>
      <c r="G121" s="267">
        <v>0</v>
      </c>
      <c r="H121" s="267">
        <v>0</v>
      </c>
    </row>
    <row r="122" spans="1:8" x14ac:dyDescent="0.3">
      <c r="B122" s="267"/>
      <c r="C122" s="268"/>
      <c r="D122" s="74" t="str">
        <f>'Practices and Requirements'!C161</f>
        <v>T-CODE-SECDN-2-2</v>
      </c>
      <c r="E122" s="124" t="str">
        <f>'Practices and Requirements'!E161</f>
        <v>To be filled</v>
      </c>
      <c r="F122" s="152">
        <f>'Practices and Requirements'!M161</f>
        <v>0</v>
      </c>
      <c r="G122" s="267"/>
      <c r="H122" s="267"/>
    </row>
    <row r="123" spans="1:8" x14ac:dyDescent="0.3">
      <c r="B123" s="74" t="s">
        <v>1930</v>
      </c>
      <c r="C123" s="98" t="s">
        <v>1931</v>
      </c>
      <c r="D123" s="74"/>
      <c r="E123" s="74"/>
      <c r="F123" s="152"/>
      <c r="G123" s="74"/>
      <c r="H123" s="74">
        <v>0</v>
      </c>
    </row>
    <row r="124" spans="1:8" x14ac:dyDescent="0.3">
      <c r="B124" s="267" t="s">
        <v>343</v>
      </c>
      <c r="C124" s="268" t="s">
        <v>1932</v>
      </c>
      <c r="D124" s="74" t="str">
        <f>'Practices and Requirements'!C360</f>
        <v>P-DEFECT-CNS-1-1</v>
      </c>
      <c r="E124" s="124" t="str">
        <f>'Practices and Requirements'!E360</f>
        <v>To be filled</v>
      </c>
      <c r="F124" s="152">
        <f>'Practices and Requirements'!M360</f>
        <v>0</v>
      </c>
      <c r="G124" s="267">
        <v>0</v>
      </c>
      <c r="H124" s="267">
        <v>0</v>
      </c>
    </row>
    <row r="125" spans="1:8" x14ac:dyDescent="0.3">
      <c r="B125" s="267"/>
      <c r="C125" s="268"/>
      <c r="D125" s="74" t="str">
        <f>'Practices and Requirements'!C362</f>
        <v>P-DEFECT-CNS-2-1</v>
      </c>
      <c r="E125" s="124" t="str">
        <f>'Practices and Requirements'!E362</f>
        <v>To be filled</v>
      </c>
      <c r="F125" s="152">
        <f>'Practices and Requirements'!M362</f>
        <v>0</v>
      </c>
      <c r="G125" s="267"/>
      <c r="H125" s="267"/>
    </row>
    <row r="126" spans="1:8" x14ac:dyDescent="0.3">
      <c r="B126" s="267"/>
      <c r="C126" s="268"/>
      <c r="D126" s="74" t="str">
        <f>'Practices and Requirements'!C364</f>
        <v>P-DEFECT-CNS-3-2</v>
      </c>
      <c r="E126" s="124" t="str">
        <f>'Practices and Requirements'!E364</f>
        <v>To be filled</v>
      </c>
      <c r="F126" s="152">
        <f>'Practices and Requirements'!M364</f>
        <v>0</v>
      </c>
      <c r="G126" s="267"/>
      <c r="H126" s="267"/>
    </row>
    <row r="127" spans="1:8" x14ac:dyDescent="0.3">
      <c r="B127" s="267"/>
      <c r="C127" s="268"/>
      <c r="D127" s="74" t="str">
        <f>'Practices and Requirements'!C365</f>
        <v>P-DEFECT-CNS-4-1</v>
      </c>
      <c r="E127" s="124" t="str">
        <f>'Practices and Requirements'!E365</f>
        <v>To be filled</v>
      </c>
      <c r="F127" s="152">
        <f>'Practices and Requirements'!M365</f>
        <v>0</v>
      </c>
      <c r="G127" s="267"/>
      <c r="H127" s="267"/>
    </row>
    <row r="128" spans="1:8" x14ac:dyDescent="0.3">
      <c r="B128" s="74" t="s">
        <v>659</v>
      </c>
      <c r="C128" s="98" t="s">
        <v>1933</v>
      </c>
      <c r="D128" s="74" t="str">
        <f>'Practices and Requirements'!C141</f>
        <v>T-CODE-SC-3-2</v>
      </c>
      <c r="E128" s="124" t="str">
        <f>'Practices and Requirements'!E141</f>
        <v>To be filled</v>
      </c>
      <c r="F128" s="152">
        <f>'Practices and Requirements'!M141</f>
        <v>0</v>
      </c>
      <c r="G128" s="74">
        <v>0</v>
      </c>
      <c r="H128" s="74">
        <v>0</v>
      </c>
    </row>
    <row r="129" spans="1:8" x14ac:dyDescent="0.3">
      <c r="B129" s="74" t="s">
        <v>1934</v>
      </c>
      <c r="C129" s="98" t="s">
        <v>1935</v>
      </c>
      <c r="D129" s="74"/>
      <c r="E129" s="74"/>
      <c r="F129" s="152"/>
      <c r="G129" s="74"/>
      <c r="H129" s="74">
        <v>0</v>
      </c>
    </row>
    <row r="130" spans="1:8" x14ac:dyDescent="0.3">
      <c r="B130" s="74" t="s">
        <v>1936</v>
      </c>
      <c r="C130" s="98" t="s">
        <v>1937</v>
      </c>
      <c r="D130" s="74"/>
      <c r="E130" s="74"/>
      <c r="F130" s="152"/>
      <c r="G130" s="74"/>
      <c r="H130" s="74">
        <v>0</v>
      </c>
    </row>
    <row r="131" spans="1:8" x14ac:dyDescent="0.3">
      <c r="B131" s="74" t="s">
        <v>1938</v>
      </c>
      <c r="C131" s="98" t="s">
        <v>1939</v>
      </c>
      <c r="D131" s="74"/>
      <c r="E131" s="74"/>
      <c r="F131" s="152"/>
      <c r="G131" s="74"/>
      <c r="H131" s="74">
        <v>0</v>
      </c>
    </row>
    <row r="132" spans="1:8" s="50" customFormat="1" ht="17.25" x14ac:dyDescent="0.3">
      <c r="A132" s="2"/>
      <c r="B132" s="269" t="s">
        <v>1940</v>
      </c>
      <c r="C132" s="269"/>
      <c r="D132" s="269"/>
      <c r="E132" s="269"/>
      <c r="F132" s="269"/>
      <c r="G132" s="74"/>
      <c r="H132" s="74"/>
    </row>
    <row r="133" spans="1:8" x14ac:dyDescent="0.3">
      <c r="B133" s="74" t="s">
        <v>391</v>
      </c>
      <c r="C133" s="98" t="s">
        <v>1941</v>
      </c>
      <c r="D133" s="74" t="str">
        <f>'Practices and Requirements'!C195</f>
        <v>T-PREPROD-SECTEST-2-1</v>
      </c>
      <c r="E133" s="124" t="str">
        <f>'Practices and Requirements'!E195</f>
        <v>To be filled</v>
      </c>
      <c r="F133" s="152">
        <f>'Practices and Requirements'!M195</f>
        <v>0</v>
      </c>
      <c r="G133" s="74">
        <v>0</v>
      </c>
      <c r="H133" s="74">
        <v>0</v>
      </c>
    </row>
    <row r="134" spans="1:8" x14ac:dyDescent="0.3">
      <c r="B134" s="74" t="s">
        <v>1942</v>
      </c>
      <c r="C134" s="98" t="s">
        <v>1943</v>
      </c>
      <c r="D134" s="74" t="str">
        <f>'Practices and Requirements'!C330</f>
        <v>P-REQ-CR-2-1</v>
      </c>
      <c r="E134" s="124" t="str">
        <f>'Practices and Requirements'!E330</f>
        <v>To be filled</v>
      </c>
      <c r="F134" s="152">
        <f>'Practices and Requirements'!M330</f>
        <v>0</v>
      </c>
      <c r="G134" s="74">
        <v>0</v>
      </c>
      <c r="H134" s="74">
        <v>0</v>
      </c>
    </row>
    <row r="135" spans="1:8" x14ac:dyDescent="0.3">
      <c r="B135" s="267" t="s">
        <v>161</v>
      </c>
      <c r="C135" s="268" t="s">
        <v>1944</v>
      </c>
      <c r="D135" s="74" t="str">
        <f>'Practices and Requirements'!C177</f>
        <v>T-PREPROD-DAST-2-2</v>
      </c>
      <c r="E135" s="124" t="str">
        <f>'Practices and Requirements'!E177</f>
        <v>To be filled</v>
      </c>
      <c r="F135" s="152">
        <f>'Practices and Requirements'!M177</f>
        <v>0</v>
      </c>
      <c r="G135" s="267">
        <v>0</v>
      </c>
      <c r="H135" s="267">
        <v>0</v>
      </c>
    </row>
    <row r="136" spans="1:8" x14ac:dyDescent="0.3">
      <c r="B136" s="267"/>
      <c r="C136" s="268"/>
      <c r="D136" s="74" t="str">
        <f>'Practices and Requirements'!C178</f>
        <v>T-PREPROD-DAST-2-3</v>
      </c>
      <c r="E136" s="124" t="str">
        <f>'Practices and Requirements'!E178</f>
        <v>To be filled</v>
      </c>
      <c r="F136" s="152">
        <f>'Practices and Requirements'!M178</f>
        <v>0</v>
      </c>
      <c r="G136" s="267"/>
      <c r="H136" s="267"/>
    </row>
    <row r="137" spans="1:8" x14ac:dyDescent="0.3">
      <c r="B137" s="74" t="s">
        <v>1945</v>
      </c>
      <c r="C137" s="98" t="s">
        <v>1946</v>
      </c>
      <c r="D137" s="74"/>
      <c r="E137" s="74"/>
      <c r="F137" s="152"/>
      <c r="G137" s="74"/>
      <c r="H137" s="74">
        <v>0</v>
      </c>
    </row>
    <row r="138" spans="1:8" x14ac:dyDescent="0.3">
      <c r="B138" s="267" t="s">
        <v>392</v>
      </c>
      <c r="C138" s="268" t="s">
        <v>1947</v>
      </c>
      <c r="D138" s="74" t="str">
        <f>'Practices and Requirements'!C196</f>
        <v>T-PREPROD-SECTEST-2-2</v>
      </c>
      <c r="E138" s="124" t="str">
        <f>'Practices and Requirements'!E196</f>
        <v>To be filled</v>
      </c>
      <c r="F138" s="152">
        <f>'Practices and Requirements'!M196</f>
        <v>0</v>
      </c>
      <c r="G138" s="267">
        <v>0</v>
      </c>
      <c r="H138" s="267">
        <v>0</v>
      </c>
    </row>
    <row r="139" spans="1:8" x14ac:dyDescent="0.3">
      <c r="B139" s="267"/>
      <c r="C139" s="268"/>
      <c r="D139" s="74" t="str">
        <f>'Practices and Requirements'!C197</f>
        <v>T-PREPROD-SECTEST-3-1</v>
      </c>
      <c r="E139" s="124" t="str">
        <f>'Practices and Requirements'!E197</f>
        <v>To be filled</v>
      </c>
      <c r="F139" s="152">
        <f>'Practices and Requirements'!M197</f>
        <v>0</v>
      </c>
      <c r="G139" s="267"/>
      <c r="H139" s="267"/>
    </row>
    <row r="140" spans="1:8" x14ac:dyDescent="0.3">
      <c r="B140" s="267" t="s">
        <v>167</v>
      </c>
      <c r="C140" s="268" t="s">
        <v>1948</v>
      </c>
      <c r="D140" s="74" t="str">
        <f>'Practices and Requirements'!C183</f>
        <v>T-PREPROD-DAST-3-4</v>
      </c>
      <c r="E140" s="124" t="str">
        <f>'Practices and Requirements'!E183</f>
        <v>To be filled</v>
      </c>
      <c r="F140" s="152">
        <f>'Practices and Requirements'!M183</f>
        <v>0</v>
      </c>
      <c r="G140" s="267">
        <v>0</v>
      </c>
      <c r="H140" s="267">
        <v>0</v>
      </c>
    </row>
    <row r="141" spans="1:8" x14ac:dyDescent="0.3">
      <c r="B141" s="267"/>
      <c r="C141" s="268"/>
      <c r="D141" s="74" t="str">
        <f>'Practices and Requirements'!C245</f>
        <v>T-PROD-DAST-3-4</v>
      </c>
      <c r="E141" s="124" t="str">
        <f>'Practices and Requirements'!E245</f>
        <v>To be filled</v>
      </c>
      <c r="F141" s="152">
        <f>'Practices and Requirements'!M245</f>
        <v>0</v>
      </c>
      <c r="G141" s="267"/>
      <c r="H141" s="267"/>
    </row>
    <row r="142" spans="1:8" x14ac:dyDescent="0.3">
      <c r="B142" s="74" t="s">
        <v>1949</v>
      </c>
      <c r="C142" s="98" t="s">
        <v>1950</v>
      </c>
      <c r="D142" s="74"/>
      <c r="E142" s="74"/>
      <c r="F142" s="152"/>
      <c r="G142" s="74"/>
      <c r="H142" s="74">
        <v>0</v>
      </c>
    </row>
    <row r="143" spans="1:8" x14ac:dyDescent="0.3">
      <c r="B143" s="74" t="s">
        <v>1951</v>
      </c>
      <c r="C143" s="98" t="s">
        <v>1952</v>
      </c>
      <c r="D143" s="74"/>
      <c r="E143" s="74"/>
      <c r="F143" s="152"/>
      <c r="G143" s="74"/>
      <c r="H143" s="74">
        <v>0</v>
      </c>
    </row>
    <row r="144" spans="1:8" x14ac:dyDescent="0.3">
      <c r="B144" s="74" t="s">
        <v>1953</v>
      </c>
      <c r="C144" s="98" t="s">
        <v>1954</v>
      </c>
      <c r="D144" s="74"/>
      <c r="E144" s="74"/>
      <c r="F144" s="152"/>
      <c r="G144" s="74"/>
      <c r="H144" s="74">
        <v>0</v>
      </c>
    </row>
    <row r="145" spans="1:8" x14ac:dyDescent="0.3">
      <c r="B145" s="74" t="s">
        <v>393</v>
      </c>
      <c r="C145" s="98" t="s">
        <v>1955</v>
      </c>
      <c r="D145" s="74" t="str">
        <f>'Practices and Requirements'!C83</f>
        <v>T-DEV-SRC-2-2</v>
      </c>
      <c r="E145" s="124" t="str">
        <f>'Practices and Requirements'!E83</f>
        <v>To be filled</v>
      </c>
      <c r="F145" s="152">
        <f>'Practices and Requirements'!M83</f>
        <v>0</v>
      </c>
      <c r="G145" s="74">
        <v>0</v>
      </c>
      <c r="H145" s="74">
        <v>0</v>
      </c>
    </row>
    <row r="146" spans="1:8" s="50" customFormat="1" ht="20.25" x14ac:dyDescent="0.3">
      <c r="A146" s="2"/>
      <c r="B146" s="270" t="s">
        <v>1956</v>
      </c>
      <c r="C146" s="270"/>
      <c r="D146" s="270"/>
      <c r="E146" s="270"/>
      <c r="F146" s="270"/>
      <c r="G146" s="74"/>
      <c r="H146" s="74"/>
    </row>
    <row r="147" spans="1:8" s="50" customFormat="1" ht="17.25" x14ac:dyDescent="0.3">
      <c r="A147" s="2"/>
      <c r="B147" s="269" t="s">
        <v>1957</v>
      </c>
      <c r="C147" s="269"/>
      <c r="D147" s="269"/>
      <c r="E147" s="269"/>
      <c r="F147" s="269"/>
      <c r="G147" s="74"/>
      <c r="H147" s="74"/>
    </row>
    <row r="148" spans="1:8" x14ac:dyDescent="0.3">
      <c r="B148" s="74" t="s">
        <v>173</v>
      </c>
      <c r="C148" s="98" t="s">
        <v>1958</v>
      </c>
      <c r="D148" s="74" t="str">
        <f>'Practices and Requirements'!C228</f>
        <v>T-PROD-PENTEST-1-2</v>
      </c>
      <c r="E148" s="124" t="str">
        <f>'Practices and Requirements'!E228</f>
        <v>To be filled</v>
      </c>
      <c r="F148" s="152">
        <f>'Practices and Requirements'!M228</f>
        <v>0</v>
      </c>
      <c r="G148" s="74">
        <v>0</v>
      </c>
      <c r="H148" s="74">
        <v>0</v>
      </c>
    </row>
    <row r="149" spans="1:8" x14ac:dyDescent="0.3">
      <c r="B149" s="74" t="s">
        <v>1959</v>
      </c>
      <c r="C149" s="98" t="s">
        <v>1960</v>
      </c>
      <c r="D149" s="74" t="str">
        <f>'Practices and Requirements'!C355</f>
        <v>P-DEFECT-MNG-3-1</v>
      </c>
      <c r="E149" s="124" t="str">
        <f>'Practices and Requirements'!E355</f>
        <v>To be filled</v>
      </c>
      <c r="F149" s="152">
        <f>'Practices and Requirements'!M355</f>
        <v>0</v>
      </c>
      <c r="G149" s="74">
        <v>0</v>
      </c>
      <c r="H149" s="74">
        <v>0</v>
      </c>
    </row>
    <row r="150" spans="1:8" x14ac:dyDescent="0.3">
      <c r="B150" s="74" t="s">
        <v>1961</v>
      </c>
      <c r="C150" s="98" t="s">
        <v>1962</v>
      </c>
      <c r="D150" s="74"/>
      <c r="E150" s="74"/>
      <c r="F150" s="152"/>
      <c r="G150" s="74"/>
      <c r="H150" s="74">
        <v>0</v>
      </c>
    </row>
    <row r="151" spans="1:8" x14ac:dyDescent="0.3">
      <c r="B151" s="267" t="s">
        <v>394</v>
      </c>
      <c r="C151" s="268" t="s">
        <v>1963</v>
      </c>
      <c r="D151" s="74" t="str">
        <f>'Practices and Requirements'!C190</f>
        <v>T-PREPROD-PENTEST-1-3</v>
      </c>
      <c r="E151" s="124" t="str">
        <f>'Practices and Requirements'!E190</f>
        <v>To be filled</v>
      </c>
      <c r="F151" s="152">
        <f>'Practices and Requirements'!M190</f>
        <v>0</v>
      </c>
      <c r="G151" s="267">
        <v>0</v>
      </c>
      <c r="H151" s="267">
        <v>0</v>
      </c>
    </row>
    <row r="152" spans="1:8" x14ac:dyDescent="0.3">
      <c r="B152" s="267"/>
      <c r="C152" s="268"/>
      <c r="D152" s="74" t="str">
        <f>'Practices and Requirements'!C229</f>
        <v>T-PROD-PENTEST-1-3</v>
      </c>
      <c r="E152" s="124" t="str">
        <f>'Practices and Requirements'!E229</f>
        <v>To be filled</v>
      </c>
      <c r="F152" s="152">
        <f>'Practices and Requirements'!M229</f>
        <v>0</v>
      </c>
      <c r="G152" s="267"/>
      <c r="H152" s="267"/>
    </row>
    <row r="153" spans="1:8" x14ac:dyDescent="0.3">
      <c r="B153" s="74" t="s">
        <v>1964</v>
      </c>
      <c r="C153" s="98" t="s">
        <v>1965</v>
      </c>
      <c r="D153" s="74"/>
      <c r="E153" s="74"/>
      <c r="F153" s="152"/>
      <c r="G153" s="74"/>
      <c r="H153" s="74">
        <v>0</v>
      </c>
    </row>
    <row r="154" spans="1:8" x14ac:dyDescent="0.3">
      <c r="B154" s="74" t="s">
        <v>1966</v>
      </c>
      <c r="C154" s="98" t="s">
        <v>1967</v>
      </c>
      <c r="D154" s="74" t="str">
        <f>'Practices and Requirements'!C233</f>
        <v>T-PROD-PENTEST-4-2</v>
      </c>
      <c r="E154" s="124" t="str">
        <f>'Practices and Requirements'!E233</f>
        <v>To be filled</v>
      </c>
      <c r="F154" s="152">
        <f>'Practices and Requirements'!M233</f>
        <v>0</v>
      </c>
      <c r="G154" s="74">
        <v>0</v>
      </c>
      <c r="H154" s="74">
        <v>0</v>
      </c>
    </row>
    <row r="155" spans="1:8" x14ac:dyDescent="0.3">
      <c r="B155" s="74" t="s">
        <v>1968</v>
      </c>
      <c r="C155" s="98" t="s">
        <v>1969</v>
      </c>
      <c r="D155" s="74"/>
      <c r="E155" s="74"/>
      <c r="F155" s="152"/>
      <c r="G155" s="74"/>
      <c r="H155" s="74">
        <v>0</v>
      </c>
    </row>
    <row r="156" spans="1:8" s="50" customFormat="1" ht="17.25" x14ac:dyDescent="0.3">
      <c r="A156" s="2"/>
      <c r="B156" s="269" t="s">
        <v>1970</v>
      </c>
      <c r="C156" s="269"/>
      <c r="D156" s="269"/>
      <c r="E156" s="269"/>
      <c r="F156" s="269"/>
      <c r="G156" s="74"/>
      <c r="H156" s="74"/>
    </row>
    <row r="157" spans="1:8" x14ac:dyDescent="0.3">
      <c r="B157" s="74" t="s">
        <v>47</v>
      </c>
      <c r="C157" s="98" t="s">
        <v>1971</v>
      </c>
      <c r="D157" s="74"/>
      <c r="E157" s="74"/>
      <c r="F157" s="152"/>
      <c r="G157" s="74"/>
      <c r="H157" s="74">
        <v>0</v>
      </c>
    </row>
    <row r="158" spans="1:8" x14ac:dyDescent="0.3">
      <c r="B158" s="74" t="s">
        <v>245</v>
      </c>
      <c r="C158" s="98" t="s">
        <v>1972</v>
      </c>
      <c r="D158" s="74" t="str">
        <f>'Practices and Requirements'!C260</f>
        <v>T-PROD-NETWORK-1-1</v>
      </c>
      <c r="E158" s="124" t="str">
        <f>'Practices and Requirements'!E260</f>
        <v>To be filled</v>
      </c>
      <c r="F158" s="152">
        <f>'Practices and Requirements'!M260</f>
        <v>0</v>
      </c>
      <c r="G158" s="74">
        <v>0</v>
      </c>
      <c r="H158" s="74">
        <v>0</v>
      </c>
    </row>
    <row r="159" spans="1:8" x14ac:dyDescent="0.3">
      <c r="B159" s="74" t="s">
        <v>1973</v>
      </c>
      <c r="C159" s="98" t="s">
        <v>1974</v>
      </c>
      <c r="D159" s="74" t="str">
        <f>'Practices and Requirements'!C263</f>
        <v>T-PROD-NETWORK-2-2</v>
      </c>
      <c r="E159" s="124" t="str">
        <f>'Practices and Requirements'!E263</f>
        <v>To be filled</v>
      </c>
      <c r="F159" s="152">
        <f>'Practices and Requirements'!M263</f>
        <v>0</v>
      </c>
      <c r="G159" s="74">
        <v>0</v>
      </c>
      <c r="H159" s="74">
        <v>0</v>
      </c>
    </row>
    <row r="160" spans="1:8" x14ac:dyDescent="0.3">
      <c r="B160" s="74" t="s">
        <v>199</v>
      </c>
      <c r="C160" s="98" t="s">
        <v>1975</v>
      </c>
      <c r="D160" s="74" t="str">
        <f>'Practices and Requirements'!C212</f>
        <v>T-PREPROD-MANSEC-2-1</v>
      </c>
      <c r="E160" s="124" t="str">
        <f>'Practices and Requirements'!E212</f>
        <v>To be filled</v>
      </c>
      <c r="F160" s="152">
        <f>'Practices and Requirements'!M212</f>
        <v>0</v>
      </c>
      <c r="G160" s="74">
        <v>0</v>
      </c>
      <c r="H160" s="74">
        <v>0</v>
      </c>
    </row>
    <row r="161" spans="1:8" x14ac:dyDescent="0.3">
      <c r="B161" s="267" t="s">
        <v>27</v>
      </c>
      <c r="C161" s="268" t="s">
        <v>1976</v>
      </c>
      <c r="D161" s="74" t="str">
        <f>'Practices and Requirements'!C27</f>
        <v>T-ADI-ART-4-1</v>
      </c>
      <c r="E161" s="124" t="str">
        <f>'Practices and Requirements'!E27</f>
        <v>To be filled</v>
      </c>
      <c r="F161" s="152">
        <f>'Practices and Requirements'!M27</f>
        <v>0</v>
      </c>
      <c r="G161" s="267">
        <v>0</v>
      </c>
      <c r="H161" s="267">
        <v>0</v>
      </c>
    </row>
    <row r="162" spans="1:8" x14ac:dyDescent="0.3">
      <c r="B162" s="267"/>
      <c r="C162" s="268"/>
      <c r="D162" s="74" t="str">
        <f>'Practices and Requirements'!C29</f>
        <v>T-ADI-ART-4-3</v>
      </c>
      <c r="E162" s="124" t="str">
        <f>'Practices and Requirements'!E29</f>
        <v>To be filled</v>
      </c>
      <c r="F162" s="152">
        <f>'Practices and Requirements'!M29</f>
        <v>0</v>
      </c>
      <c r="G162" s="267"/>
      <c r="H162" s="267"/>
    </row>
    <row r="163" spans="1:8" x14ac:dyDescent="0.3">
      <c r="B163" s="267"/>
      <c r="C163" s="268"/>
      <c r="D163" s="74" t="str">
        <f>'Practices and Requirements'!C90</f>
        <v>T-DEV-SRC-3-3</v>
      </c>
      <c r="E163" s="124" t="str">
        <f>'Practices and Requirements'!E90</f>
        <v>To be filled</v>
      </c>
      <c r="F163" s="152">
        <f>'Practices and Requirements'!M90</f>
        <v>0</v>
      </c>
      <c r="G163" s="267"/>
      <c r="H163" s="267"/>
    </row>
    <row r="164" spans="1:8" x14ac:dyDescent="0.3">
      <c r="B164" s="267"/>
      <c r="C164" s="268"/>
      <c r="D164" s="74" t="str">
        <f>'Practices and Requirements'!C137</f>
        <v>T-CODE-SC-2-3</v>
      </c>
      <c r="E164" s="124" t="str">
        <f>'Practices and Requirements'!E137</f>
        <v>To be filled</v>
      </c>
      <c r="F164" s="152">
        <f>'Practices and Requirements'!M137</f>
        <v>0</v>
      </c>
      <c r="G164" s="267"/>
      <c r="H164" s="267"/>
    </row>
    <row r="165" spans="1:8" x14ac:dyDescent="0.3">
      <c r="B165" s="267"/>
      <c r="C165" s="268"/>
      <c r="D165" s="74" t="str">
        <f>'Practices and Requirements'!C152</f>
        <v>T-CODE-IMG-3-1</v>
      </c>
      <c r="E165" s="124" t="str">
        <f>'Practices and Requirements'!E152</f>
        <v>To be filled</v>
      </c>
      <c r="F165" s="152">
        <f>'Practices and Requirements'!M152</f>
        <v>0</v>
      </c>
      <c r="G165" s="267"/>
      <c r="H165" s="267"/>
    </row>
    <row r="166" spans="1:8" x14ac:dyDescent="0.3">
      <c r="B166" s="74" t="s">
        <v>1977</v>
      </c>
      <c r="C166" s="98" t="s">
        <v>1978</v>
      </c>
      <c r="D166" s="74"/>
      <c r="E166" s="74"/>
      <c r="F166" s="152"/>
      <c r="G166" s="74"/>
      <c r="H166" s="74">
        <v>0</v>
      </c>
    </row>
    <row r="167" spans="1:8" x14ac:dyDescent="0.3">
      <c r="B167" s="74" t="s">
        <v>1979</v>
      </c>
      <c r="C167" s="98" t="s">
        <v>1980</v>
      </c>
      <c r="D167" s="74"/>
      <c r="E167" s="74"/>
      <c r="F167" s="152"/>
      <c r="G167" s="74"/>
      <c r="H167" s="74">
        <v>0</v>
      </c>
    </row>
    <row r="168" spans="1:8" x14ac:dyDescent="0.3">
      <c r="B168" s="74" t="s">
        <v>1981</v>
      </c>
      <c r="C168" s="98" t="s">
        <v>1982</v>
      </c>
      <c r="D168" s="74"/>
      <c r="E168" s="74"/>
      <c r="F168" s="152"/>
      <c r="G168" s="74"/>
      <c r="H168" s="74">
        <v>0</v>
      </c>
    </row>
    <row r="169" spans="1:8" x14ac:dyDescent="0.3">
      <c r="B169" s="267" t="s">
        <v>395</v>
      </c>
      <c r="C169" s="268" t="s">
        <v>1983</v>
      </c>
      <c r="D169" s="74" t="str">
        <f>'Practices and Requirements'!C268</f>
        <v>T-PROD-RUN-3-1</v>
      </c>
      <c r="E169" s="124" t="str">
        <f>'Practices and Requirements'!E268</f>
        <v>To be filled</v>
      </c>
      <c r="F169" s="152">
        <f>'Practices and Requirements'!M268</f>
        <v>0</v>
      </c>
      <c r="G169" s="267">
        <v>0</v>
      </c>
      <c r="H169" s="267">
        <v>0</v>
      </c>
    </row>
    <row r="170" spans="1:8" x14ac:dyDescent="0.3">
      <c r="B170" s="267"/>
      <c r="C170" s="268"/>
      <c r="D170" s="74" t="str">
        <f>'Practices and Requirements'!C283</f>
        <v>T-PROD-EVENTS-3-1</v>
      </c>
      <c r="E170" s="124" t="str">
        <f>'Practices and Requirements'!E283</f>
        <v>To be filled</v>
      </c>
      <c r="F170" s="152">
        <f>'Practices and Requirements'!M283</f>
        <v>0</v>
      </c>
      <c r="G170" s="267"/>
      <c r="H170" s="267"/>
    </row>
    <row r="171" spans="1:8" x14ac:dyDescent="0.3">
      <c r="B171" s="74" t="s">
        <v>1984</v>
      </c>
      <c r="C171" s="98" t="s">
        <v>1985</v>
      </c>
      <c r="D171" s="74" t="str">
        <f>'Practices and Requirements'!C25</f>
        <v>T-ADI-ART-3-1</v>
      </c>
      <c r="E171" s="124" t="str">
        <f>'Practices and Requirements'!E25</f>
        <v>To be filled</v>
      </c>
      <c r="F171" s="152">
        <f>'Practices and Requirements'!M25</f>
        <v>0</v>
      </c>
      <c r="G171" s="74">
        <v>0</v>
      </c>
      <c r="H171" s="74">
        <v>0</v>
      </c>
    </row>
    <row r="172" spans="1:8" x14ac:dyDescent="0.3">
      <c r="B172" s="74" t="s">
        <v>118</v>
      </c>
      <c r="C172" s="98" t="s">
        <v>1986</v>
      </c>
      <c r="D172" s="74" t="str">
        <f>'Practices and Requirements'!C132</f>
        <v>T-CODE-SC-1-1</v>
      </c>
      <c r="E172" s="124" t="str">
        <f>'Practices and Requirements'!E132</f>
        <v>To be filled</v>
      </c>
      <c r="F172" s="152">
        <f>'Practices and Requirements'!M132</f>
        <v>0</v>
      </c>
      <c r="G172" s="74">
        <v>0</v>
      </c>
      <c r="H172" s="74">
        <v>0</v>
      </c>
    </row>
    <row r="173" spans="1:8" x14ac:dyDescent="0.3">
      <c r="B173" s="74" t="s">
        <v>1987</v>
      </c>
      <c r="C173" s="98" t="s">
        <v>1988</v>
      </c>
      <c r="D173" s="74"/>
      <c r="E173" s="74"/>
      <c r="F173" s="152"/>
      <c r="G173" s="74"/>
      <c r="H173" s="74">
        <v>0</v>
      </c>
    </row>
    <row r="174" spans="1:8" s="50" customFormat="1" ht="15.75" customHeight="1" x14ac:dyDescent="0.3">
      <c r="A174" s="2"/>
      <c r="B174" s="269" t="s">
        <v>1989</v>
      </c>
      <c r="C174" s="269"/>
      <c r="D174" s="269"/>
      <c r="E174" s="269"/>
      <c r="F174" s="269"/>
      <c r="G174" s="74"/>
      <c r="H174" s="74"/>
    </row>
    <row r="175" spans="1:8" x14ac:dyDescent="0.3">
      <c r="B175" s="267" t="s">
        <v>656</v>
      </c>
      <c r="C175" s="268" t="s">
        <v>1990</v>
      </c>
      <c r="D175" s="74" t="str">
        <f>'Practices and Requirements'!C39</f>
        <v>T-DEV-SM-1-2</v>
      </c>
      <c r="E175" s="124" t="str">
        <f>'Practices and Requirements'!E39</f>
        <v>To be filled</v>
      </c>
      <c r="F175" s="152">
        <f>'Practices and Requirements'!M39</f>
        <v>0</v>
      </c>
      <c r="G175" s="267">
        <v>0</v>
      </c>
      <c r="H175" s="267">
        <v>0</v>
      </c>
    </row>
    <row r="176" spans="1:8" x14ac:dyDescent="0.3">
      <c r="B176" s="267"/>
      <c r="C176" s="268"/>
      <c r="D176" s="74" t="str">
        <f>'Practices and Requirements'!C50</f>
        <v>T-DEV-BLD-2-1</v>
      </c>
      <c r="E176" s="124" t="str">
        <f>'Practices and Requirements'!E50</f>
        <v>To be filled</v>
      </c>
      <c r="F176" s="152">
        <f>'Practices and Requirements'!M50</f>
        <v>0</v>
      </c>
      <c r="G176" s="267"/>
      <c r="H176" s="267"/>
    </row>
    <row r="177" spans="2:8" x14ac:dyDescent="0.3">
      <c r="B177" s="267"/>
      <c r="C177" s="268"/>
      <c r="D177" s="74" t="str">
        <f>'Practices and Requirements'!C159</f>
        <v>T-CODE-SECDN-1-4</v>
      </c>
      <c r="E177" s="124" t="str">
        <f>'Practices and Requirements'!E159</f>
        <v>To be filled</v>
      </c>
      <c r="F177" s="152">
        <f>'Practices and Requirements'!M159</f>
        <v>0</v>
      </c>
      <c r="G177" s="267"/>
      <c r="H177" s="267"/>
    </row>
    <row r="178" spans="2:8" x14ac:dyDescent="0.3">
      <c r="B178" s="267"/>
      <c r="C178" s="268"/>
      <c r="D178" s="74" t="str">
        <f>'Practices and Requirements'!C217</f>
        <v>T-PROD-SM-1-2</v>
      </c>
      <c r="E178" s="124" t="str">
        <f>'Practices and Requirements'!E217</f>
        <v>To be filled</v>
      </c>
      <c r="F178" s="152">
        <f>'Practices and Requirements'!M217</f>
        <v>0</v>
      </c>
      <c r="G178" s="267"/>
      <c r="H178" s="267"/>
    </row>
    <row r="179" spans="2:8" x14ac:dyDescent="0.3">
      <c r="B179" s="267"/>
      <c r="C179" s="268"/>
      <c r="D179" s="74" t="str">
        <f>'Practices and Requirements'!C283</f>
        <v>T-PROD-EVENTS-3-1</v>
      </c>
      <c r="E179" s="124" t="str">
        <f>'Practices and Requirements'!E283</f>
        <v>To be filled</v>
      </c>
      <c r="F179" s="152">
        <f>'Practices and Requirements'!M283</f>
        <v>0</v>
      </c>
      <c r="G179" s="267"/>
      <c r="H179" s="267"/>
    </row>
    <row r="180" spans="2:8" x14ac:dyDescent="0.3">
      <c r="B180" s="74" t="s">
        <v>1991</v>
      </c>
      <c r="C180" s="98" t="s">
        <v>1992</v>
      </c>
      <c r="D180" s="74"/>
      <c r="E180" s="74"/>
      <c r="F180" s="152"/>
      <c r="G180" s="74"/>
      <c r="H180" s="74">
        <v>0</v>
      </c>
    </row>
    <row r="181" spans="2:8" x14ac:dyDescent="0.3">
      <c r="B181" s="74" t="s">
        <v>1993</v>
      </c>
      <c r="C181" s="98" t="s">
        <v>1994</v>
      </c>
      <c r="D181" s="74" t="str">
        <f>'Practices and Requirements'!C355</f>
        <v>P-DEFECT-MNG-3-1</v>
      </c>
      <c r="E181" s="124" t="str">
        <f>'Practices and Requirements'!E355</f>
        <v>To be filled</v>
      </c>
      <c r="F181" s="152">
        <f>'Practices and Requirements'!M355</f>
        <v>0</v>
      </c>
      <c r="G181" s="74">
        <v>0</v>
      </c>
      <c r="H181" s="74">
        <v>0</v>
      </c>
    </row>
    <row r="182" spans="2:8" x14ac:dyDescent="0.3">
      <c r="B182" s="74" t="s">
        <v>1995</v>
      </c>
      <c r="C182" s="98" t="s">
        <v>1996</v>
      </c>
      <c r="D182" s="74"/>
      <c r="E182" s="74"/>
      <c r="F182" s="152"/>
      <c r="G182" s="74"/>
      <c r="H182" s="74">
        <v>0</v>
      </c>
    </row>
    <row r="183" spans="2:8" x14ac:dyDescent="0.3">
      <c r="B183" s="74" t="s">
        <v>1997</v>
      </c>
      <c r="C183" s="98" t="s">
        <v>1998</v>
      </c>
      <c r="D183" s="74" t="str">
        <f>'Practices and Requirements'!C273</f>
        <v>T-PROD-VULN-2-2</v>
      </c>
      <c r="E183" s="124" t="str">
        <f>'Practices and Requirements'!E273</f>
        <v>To be filled</v>
      </c>
      <c r="F183" s="152">
        <f>'Practices and Requirements'!M273</f>
        <v>0</v>
      </c>
      <c r="G183" s="74">
        <v>0</v>
      </c>
      <c r="H183" s="74">
        <v>0</v>
      </c>
    </row>
    <row r="184" spans="2:8" x14ac:dyDescent="0.3">
      <c r="B184" s="74" t="s">
        <v>1999</v>
      </c>
      <c r="C184" s="98" t="s">
        <v>2000</v>
      </c>
      <c r="D184" s="74" t="str">
        <f>'Practices and Requirements'!C355</f>
        <v>P-DEFECT-MNG-3-1</v>
      </c>
      <c r="E184" s="124" t="str">
        <f>'Practices and Requirements'!E355</f>
        <v>To be filled</v>
      </c>
      <c r="F184" s="152">
        <f>'Practices and Requirements'!M355</f>
        <v>0</v>
      </c>
      <c r="G184" s="74">
        <v>0</v>
      </c>
      <c r="H184" s="74">
        <v>0</v>
      </c>
    </row>
    <row r="185" spans="2:8" x14ac:dyDescent="0.3">
      <c r="B185" s="74" t="s">
        <v>2001</v>
      </c>
      <c r="C185" s="98" t="s">
        <v>2002</v>
      </c>
      <c r="D185" s="74"/>
      <c r="E185" s="74"/>
      <c r="F185" s="152"/>
      <c r="G185" s="74"/>
      <c r="H185" s="74">
        <v>0</v>
      </c>
    </row>
    <row r="186" spans="2:8" x14ac:dyDescent="0.3">
      <c r="B186" s="74" t="s">
        <v>2003</v>
      </c>
      <c r="C186" s="98" t="s">
        <v>2004</v>
      </c>
      <c r="D186" s="74" t="str">
        <f>'Practices and Requirements'!C233</f>
        <v>T-PROD-PENTEST-4-2</v>
      </c>
      <c r="E186" s="124" t="str">
        <f>'Practices and Requirements'!E233</f>
        <v>To be filled</v>
      </c>
      <c r="F186" s="152">
        <f>'Practices and Requirements'!M233</f>
        <v>0</v>
      </c>
      <c r="G186" s="74">
        <v>0</v>
      </c>
      <c r="H186" s="74">
        <v>0</v>
      </c>
    </row>
    <row r="187" spans="2:8" x14ac:dyDescent="0.3">
      <c r="B187" s="74" t="s">
        <v>660</v>
      </c>
      <c r="C187" s="98" t="s">
        <v>2005</v>
      </c>
      <c r="D187" s="74"/>
      <c r="E187" s="74"/>
      <c r="F187" s="152"/>
      <c r="G187" s="74"/>
      <c r="H187" s="74">
        <v>0</v>
      </c>
    </row>
    <row r="188" spans="2:8" x14ac:dyDescent="0.3">
      <c r="B188" s="267" t="s">
        <v>662</v>
      </c>
      <c r="C188" s="268" t="s">
        <v>2006</v>
      </c>
      <c r="D188" s="74" t="str">
        <f>'Practices and Requirements'!C275</f>
        <v>T-PROD-VULN-3-1</v>
      </c>
      <c r="E188" s="124" t="str">
        <f>'Practices and Requirements'!E275</f>
        <v>To be filled</v>
      </c>
      <c r="F188" s="152">
        <f>'Practices and Requirements'!M275</f>
        <v>0</v>
      </c>
      <c r="G188" s="267">
        <v>0</v>
      </c>
      <c r="H188" s="267">
        <v>0</v>
      </c>
    </row>
    <row r="189" spans="2:8" x14ac:dyDescent="0.3">
      <c r="B189" s="267"/>
      <c r="C189" s="268"/>
      <c r="D189" s="74" t="str">
        <f>'Practices and Requirements'!C276</f>
        <v>T-PROD-VULN-3-2</v>
      </c>
      <c r="E189" s="124" t="str">
        <f>'Practices and Requirements'!E276</f>
        <v>To be filled</v>
      </c>
      <c r="F189" s="152">
        <f>'Practices and Requirements'!M276</f>
        <v>0</v>
      </c>
      <c r="G189" s="267"/>
      <c r="H189" s="267"/>
    </row>
    <row r="190" spans="2:8" x14ac:dyDescent="0.3">
      <c r="B190" s="267"/>
      <c r="C190" s="268"/>
      <c r="D190" s="74" t="str">
        <f>'Practices and Requirements'!C277</f>
        <v>T-PROD-VULN-3-3</v>
      </c>
      <c r="E190" s="124" t="str">
        <f>'Practices and Requirements'!E277</f>
        <v>To be filled</v>
      </c>
      <c r="F190" s="152">
        <f>'Practices and Requirements'!M277</f>
        <v>0</v>
      </c>
      <c r="G190" s="267"/>
      <c r="H190" s="267"/>
    </row>
    <row r="191" spans="2:8" x14ac:dyDescent="0.3">
      <c r="B191" s="267"/>
      <c r="C191" s="268"/>
      <c r="D191" s="74" t="str">
        <f>'Practices and Requirements'!C279</f>
        <v>T-PROD-VULN-4-1</v>
      </c>
      <c r="E191" s="124" t="str">
        <f>'Practices and Requirements'!E279</f>
        <v>To be filled</v>
      </c>
      <c r="F191" s="152">
        <f>'Practices and Requirements'!M279</f>
        <v>0</v>
      </c>
      <c r="G191" s="267"/>
      <c r="H191" s="267"/>
    </row>
    <row r="192" spans="2:8" x14ac:dyDescent="0.3">
      <c r="B192" s="74" t="s">
        <v>2007</v>
      </c>
      <c r="C192" s="98" t="s">
        <v>2008</v>
      </c>
      <c r="D192" s="74"/>
      <c r="E192" s="74"/>
      <c r="F192" s="152"/>
      <c r="G192" s="74"/>
      <c r="H192" s="74">
        <v>0</v>
      </c>
    </row>
    <row r="193" spans="2:8" x14ac:dyDescent="0.3">
      <c r="B193" s="74" t="s">
        <v>2009</v>
      </c>
      <c r="C193" s="98" t="s">
        <v>2010</v>
      </c>
      <c r="D193" s="74"/>
      <c r="E193" s="74"/>
      <c r="F193" s="152"/>
      <c r="G193" s="74"/>
      <c r="H193" s="74">
        <v>0</v>
      </c>
    </row>
    <row r="194" spans="2:8" x14ac:dyDescent="0.3">
      <c r="B194" s="74" t="s">
        <v>2011</v>
      </c>
      <c r="C194" s="98" t="s">
        <v>2012</v>
      </c>
      <c r="D194" s="74"/>
      <c r="E194" s="74"/>
      <c r="F194" s="152"/>
      <c r="G194" s="74"/>
      <c r="H194" s="74">
        <v>0</v>
      </c>
    </row>
  </sheetData>
  <autoFilter ref="B1:F1" xr:uid="{00000000-0009-0000-0000-000006000000}"/>
  <mergeCells count="120">
    <mergeCell ref="B156:F156"/>
    <mergeCell ref="B161:B165"/>
    <mergeCell ref="C161:C165"/>
    <mergeCell ref="B188:B191"/>
    <mergeCell ref="C188:C191"/>
    <mergeCell ref="B59:F59"/>
    <mergeCell ref="B60:F60"/>
    <mergeCell ref="B68:B69"/>
    <mergeCell ref="C68:C69"/>
    <mergeCell ref="B88:B90"/>
    <mergeCell ref="C88:C90"/>
    <mergeCell ref="B101:F101"/>
    <mergeCell ref="B102:F102"/>
    <mergeCell ref="B105:B107"/>
    <mergeCell ref="C105:C107"/>
    <mergeCell ref="C121:C122"/>
    <mergeCell ref="C138:C139"/>
    <mergeCell ref="B2:F2"/>
    <mergeCell ref="B3:F3"/>
    <mergeCell ref="B6:B9"/>
    <mergeCell ref="C6:C9"/>
    <mergeCell ref="G6:G9"/>
    <mergeCell ref="H6:H9"/>
    <mergeCell ref="B11:B12"/>
    <mergeCell ref="C11:C12"/>
    <mergeCell ref="G11:G12"/>
    <mergeCell ref="H11:H12"/>
    <mergeCell ref="C16:C20"/>
    <mergeCell ref="G16:G20"/>
    <mergeCell ref="H16:H20"/>
    <mergeCell ref="B22:B24"/>
    <mergeCell ref="C22:C24"/>
    <mergeCell ref="G22:G24"/>
    <mergeCell ref="H22:H24"/>
    <mergeCell ref="B25:B29"/>
    <mergeCell ref="C25:C29"/>
    <mergeCell ref="G25:G29"/>
    <mergeCell ref="H25:H29"/>
    <mergeCell ref="B16:B20"/>
    <mergeCell ref="B31:F31"/>
    <mergeCell ref="B37:B39"/>
    <mergeCell ref="C37:C39"/>
    <mergeCell ref="G37:G39"/>
    <mergeCell ref="H37:H39"/>
    <mergeCell ref="B45:F45"/>
    <mergeCell ref="B51:B52"/>
    <mergeCell ref="C51:C52"/>
    <mergeCell ref="G51:G52"/>
    <mergeCell ref="H51:H52"/>
    <mergeCell ref="G68:G69"/>
    <mergeCell ref="H68:H69"/>
    <mergeCell ref="B73:F73"/>
    <mergeCell ref="B81:F81"/>
    <mergeCell ref="B82:B83"/>
    <mergeCell ref="C82:C83"/>
    <mergeCell ref="G82:G83"/>
    <mergeCell ref="H82:H83"/>
    <mergeCell ref="B84:B87"/>
    <mergeCell ref="C84:C87"/>
    <mergeCell ref="G84:G87"/>
    <mergeCell ref="H84:H87"/>
    <mergeCell ref="H88:H90"/>
    <mergeCell ref="B94:B96"/>
    <mergeCell ref="C94:C96"/>
    <mergeCell ref="G94:G96"/>
    <mergeCell ref="H94:H96"/>
    <mergeCell ref="B99:B100"/>
    <mergeCell ref="C99:C100"/>
    <mergeCell ref="G99:G100"/>
    <mergeCell ref="H99:H100"/>
    <mergeCell ref="G88:G90"/>
    <mergeCell ref="G105:G107"/>
    <mergeCell ref="H105:H107"/>
    <mergeCell ref="B114:F114"/>
    <mergeCell ref="B116:B117"/>
    <mergeCell ref="C116:C117"/>
    <mergeCell ref="G116:G117"/>
    <mergeCell ref="H116:H117"/>
    <mergeCell ref="B118:B119"/>
    <mergeCell ref="C118:C119"/>
    <mergeCell ref="G118:G119"/>
    <mergeCell ref="H118:H119"/>
    <mergeCell ref="G121:G122"/>
    <mergeCell ref="H121:H122"/>
    <mergeCell ref="B124:B127"/>
    <mergeCell ref="C124:C127"/>
    <mergeCell ref="G124:G127"/>
    <mergeCell ref="H124:H127"/>
    <mergeCell ref="B132:F132"/>
    <mergeCell ref="B135:B136"/>
    <mergeCell ref="C135:C136"/>
    <mergeCell ref="G135:G136"/>
    <mergeCell ref="H135:H136"/>
    <mergeCell ref="B121:B122"/>
    <mergeCell ref="G138:G139"/>
    <mergeCell ref="H138:H139"/>
    <mergeCell ref="C140:C141"/>
    <mergeCell ref="G140:G141"/>
    <mergeCell ref="H140:H141"/>
    <mergeCell ref="B146:F146"/>
    <mergeCell ref="B147:F147"/>
    <mergeCell ref="B151:B152"/>
    <mergeCell ref="C151:C152"/>
    <mergeCell ref="G151:G152"/>
    <mergeCell ref="H151:H152"/>
    <mergeCell ref="B140:B141"/>
    <mergeCell ref="B138:B139"/>
    <mergeCell ref="H188:H191"/>
    <mergeCell ref="H161:H165"/>
    <mergeCell ref="B169:B170"/>
    <mergeCell ref="C169:C170"/>
    <mergeCell ref="G169:G170"/>
    <mergeCell ref="H169:H170"/>
    <mergeCell ref="B174:F174"/>
    <mergeCell ref="B175:B179"/>
    <mergeCell ref="C175:C179"/>
    <mergeCell ref="G175:G179"/>
    <mergeCell ref="H175:H179"/>
    <mergeCell ref="G161:G165"/>
    <mergeCell ref="G188:G19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ta_data xmlns="7aa221e3-2679-4b7f-8501-9ead081fcbbd"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Документ" ma:contentTypeID="0x0101006CA2C0ADBEC7BE46B0822C2DAA5A03E5" ma:contentTypeVersion="3" ma:contentTypeDescription="Создание документа." ma:contentTypeScope="" ma:versionID="2c0b967ad34bbc7280160eedba1ebf65">
  <xsd:schema xmlns:xsd="http://www.w3.org/2001/XMLSchema" xmlns:xs="http://www.w3.org/2001/XMLSchema" xmlns:p="http://schemas.microsoft.com/office/2006/metadata/properties" xmlns:ns2="761b51ea-73c7-430a-8a38-0ce42770504b" xmlns:ns3="7aa221e3-2679-4b7f-8501-9ead081fcbbd" targetNamespace="http://schemas.microsoft.com/office/2006/metadata/properties" ma:root="true" ma:fieldsID="31711765d5ae13ef6aa18ca09936d202" ns2:_="" ns3:_="">
    <xsd:import namespace="761b51ea-73c7-430a-8a38-0ce42770504b"/>
    <xsd:import namespace="7aa221e3-2679-4b7f-8501-9ead081fcbbd"/>
    <xsd:element name="properties">
      <xsd:complexType>
        <xsd:sequence>
          <xsd:element name="documentManagement">
            <xsd:complexType>
              <xsd:all>
                <xsd:element ref="ns2:SharedWithUsers" minOccurs="0"/>
                <xsd:element ref="ns2:SharedWithDetails" minOccurs="0"/>
                <xsd:element ref="ns3:meta_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b51ea-73c7-430a-8a38-0ce42770504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a221e3-2679-4b7f-8501-9ead081fcbbd" elementFormDefault="qualified">
    <xsd:import namespace="http://schemas.microsoft.com/office/2006/documentManagement/types"/>
    <xsd:import namespace="http://schemas.microsoft.com/office/infopath/2007/PartnerControls"/>
    <xsd:element name="meta_data" ma:index="10" nillable="true" ma:displayName="meta_data" ma:internalName="meta_data">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57A9B2-A811-4421-842D-267E752DF2B8}">
  <ds:schemaRefs>
    <ds:schemaRef ds:uri="http://schemas.microsoft.com/sharepoint/v3/contenttype/forms"/>
  </ds:schemaRefs>
</ds:datastoreItem>
</file>

<file path=customXml/itemProps2.xml><?xml version="1.0" encoding="utf-8"?>
<ds:datastoreItem xmlns:ds="http://schemas.openxmlformats.org/officeDocument/2006/customXml" ds:itemID="{E0033CE4-6710-4761-A04E-D0B713969418}">
  <ds:schemaRefs>
    <ds:schemaRef ds:uri="http://purl.org/dc/dcmitype/"/>
    <ds:schemaRef ds:uri="http://schemas.microsoft.com/office/2006/metadata/properties"/>
    <ds:schemaRef ds:uri="http://schemas.microsoft.com/office/infopath/2007/PartnerControls"/>
    <ds:schemaRef ds:uri="http://purl.org/dc/terms/"/>
    <ds:schemaRef ds:uri="http://schemas.openxmlformats.org/package/2006/metadata/core-properties"/>
    <ds:schemaRef ds:uri="761b51ea-73c7-430a-8a38-0ce42770504b"/>
    <ds:schemaRef ds:uri="http://schemas.microsoft.com/office/2006/documentManagement/types"/>
    <ds:schemaRef ds:uri="7aa221e3-2679-4b7f-8501-9ead081fcbbd"/>
    <ds:schemaRef ds:uri="http://www.w3.org/XML/1998/namespace"/>
    <ds:schemaRef ds:uri="http://purl.org/dc/elements/1.1/"/>
  </ds:schemaRefs>
</ds:datastoreItem>
</file>

<file path=customXml/itemProps3.xml><?xml version="1.0" encoding="utf-8"?>
<ds:datastoreItem xmlns:ds="http://schemas.openxmlformats.org/officeDocument/2006/customXml" ds:itemID="{178CD57D-0057-4D40-9288-B058CE626555}">
  <ds:schemaRefs>
    <ds:schemaRef ds:uri="http://schemas.microsoft.com/DataMashup"/>
  </ds:schemaRefs>
</ds:datastoreItem>
</file>

<file path=customXml/itemProps4.xml><?xml version="1.0" encoding="utf-8"?>
<ds:datastoreItem xmlns:ds="http://schemas.openxmlformats.org/officeDocument/2006/customXml" ds:itemID="{1163D231-0F98-4AD3-989A-7CBBD09AFF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b51ea-73c7-430a-8a38-0ce42770504b"/>
    <ds:schemaRef ds:uri="7aa221e3-2679-4b7f-8501-9ead081fcb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DAF general overview (DAF map)</vt:lpstr>
      <vt:lpstr>Assesment outcomes</vt:lpstr>
      <vt:lpstr>Practices and Requirements</vt:lpstr>
      <vt:lpstr>DAF maturity pyramid</vt:lpstr>
      <vt:lpstr>SAMM_mapping</vt:lpstr>
      <vt:lpstr>DSOMM_mapping</vt:lpstr>
      <vt:lpstr>BSIMM14_mapping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2025-12-24T13:19:19Z</dcterms:created>
  <dcterms:modified xsi:type="dcterms:W3CDTF">2025-12-29T16:54:22Z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